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F37" i="2"/>
  <c r="I27" i="3"/>
  <c r="H49" i="4"/>
  <c r="G40" i="6"/>
  <c r="E46" i="5"/>
</calcChain>
</file>

<file path=xl/sharedStrings.xml><?xml version="1.0" encoding="utf-8"?>
<sst xmlns="http://schemas.openxmlformats.org/spreadsheetml/2006/main" count="241" uniqueCount="125">
  <si>
    <t xml:space="preserve">BBA </t>
  </si>
  <si>
    <t xml:space="preserve">STUDENT BY NGO </t>
  </si>
  <si>
    <t>Q1- prompt</t>
  </si>
  <si>
    <t>Q2-Cooperative</t>
  </si>
  <si>
    <t>Q3-Courteous</t>
  </si>
  <si>
    <t>Q4- took initiative</t>
  </si>
  <si>
    <t>Q5- Took responsibility</t>
  </si>
  <si>
    <t>Q6- positive attitude</t>
  </si>
  <si>
    <t>Q7- Dressed appropriatly</t>
  </si>
  <si>
    <t>Q8-developed/exhibited analytical skills</t>
  </si>
  <si>
    <t>Q9- sesitive towards problem &amp; bring change in community</t>
  </si>
  <si>
    <t>Q10-Overall effective</t>
  </si>
  <si>
    <t>BBA</t>
  </si>
  <si>
    <t xml:space="preserve">NGO BY STUDENT </t>
  </si>
  <si>
    <t>Q.1 NGO  contact person was helpful</t>
  </si>
  <si>
    <t xml:space="preserve">Q.2 Adequate support and encourgement from NGO staff memebers </t>
  </si>
  <si>
    <t>Q.3 Received adquate orientation and trainning from NGO</t>
  </si>
  <si>
    <t xml:space="preserve">Q.4 Adquate onsite supervision  </t>
  </si>
  <si>
    <t xml:space="preserve">Q.5 Personally benifited </t>
  </si>
  <si>
    <t>Q.6. Recommended NGO</t>
  </si>
  <si>
    <t xml:space="preserve">SIT </t>
  </si>
  <si>
    <t>P-ERSONAL EXP</t>
  </si>
  <si>
    <t xml:space="preserve">Q. 1 Learn from project </t>
  </si>
  <si>
    <t xml:space="preserve">Q.2 Significant Contribution </t>
  </si>
  <si>
    <t xml:space="preserve">Q.3 Level of commitment </t>
  </si>
  <si>
    <t xml:space="preserve">Q.4 Utilize classrooms </t>
  </si>
  <si>
    <t xml:space="preserve">Q.5. Facility Service Learning </t>
  </si>
  <si>
    <t xml:space="preserve">NGO By student </t>
  </si>
  <si>
    <t>PE</t>
  </si>
  <si>
    <t xml:space="preserve">BCA AND BBA </t>
  </si>
  <si>
    <t xml:space="preserve">SIHS/ NURSING </t>
  </si>
  <si>
    <t xml:space="preserve">PE </t>
  </si>
  <si>
    <t xml:space="preserve">SID </t>
  </si>
  <si>
    <t xml:space="preserve">SSLA/ PHOTOGRAPHY </t>
  </si>
  <si>
    <t>STUDENT BY NGO</t>
  </si>
  <si>
    <t>ExploreiT</t>
  </si>
  <si>
    <t>Robinhood Army</t>
  </si>
  <si>
    <t>Vrikshit Foundation</t>
  </si>
  <si>
    <t>Khayaal Foundation</t>
  </si>
  <si>
    <t>Sapne Foundation</t>
  </si>
  <si>
    <t>The Intelligent Indian</t>
  </si>
  <si>
    <t>Youth Network</t>
  </si>
  <si>
    <t>I Gift Life Foundation</t>
  </si>
  <si>
    <t>Pocketful of Sunshine</t>
  </si>
  <si>
    <t>Ambay Educational Society- MIPS</t>
  </si>
  <si>
    <t xml:space="preserve">PAGC Foundation </t>
  </si>
  <si>
    <t>Institution for the Blind (Andh Vidyalaya)</t>
  </si>
  <si>
    <t>Rotaract club of Indirapuram Pariwar</t>
  </si>
  <si>
    <t>Exepowering the vision project</t>
  </si>
  <si>
    <t>Ajit Foundation</t>
  </si>
  <si>
    <t>Cure The Endure NGO</t>
  </si>
  <si>
    <t>Manthan Foundation</t>
  </si>
  <si>
    <t>Leo club of magnificent</t>
  </si>
  <si>
    <t>Yashodhara Bahuuddheshiya Sangh</t>
  </si>
  <si>
    <t>Akshaypatra</t>
  </si>
  <si>
    <t>Rotary Club</t>
  </si>
  <si>
    <t>Aniket Sevahavi Sanstha</t>
  </si>
  <si>
    <t>Thinksharp Foundation</t>
  </si>
  <si>
    <t>Vijay Integrated Development Society (VIDS)</t>
  </si>
  <si>
    <t>Lend a Hand, India</t>
  </si>
  <si>
    <t>Janki Charitable Trust</t>
  </si>
  <si>
    <t>Gavaksh</t>
  </si>
  <si>
    <t>CASP India</t>
  </si>
  <si>
    <t>Humanify Foundation</t>
  </si>
  <si>
    <t>Think sharp foundation</t>
  </si>
  <si>
    <t>MG education &amp; social development organization</t>
  </si>
  <si>
    <t>Amanat Foundation</t>
  </si>
  <si>
    <t>I Gift Life</t>
  </si>
  <si>
    <t>Teach or India</t>
  </si>
  <si>
    <t>Tarawati Ranjeet Singh Shikshan Samiti</t>
  </si>
  <si>
    <t>Centre for Developent Communication &amp; Studies</t>
  </si>
  <si>
    <t>ResQ Charitable Trust</t>
  </si>
  <si>
    <t>M.G Education &amp; social development organization</t>
  </si>
  <si>
    <t>Karve Institute of social service</t>
  </si>
  <si>
    <t>Lend-A-Hand India</t>
  </si>
  <si>
    <t>ISKCON</t>
  </si>
  <si>
    <t xml:space="preserve">I GiftLife foundation </t>
  </si>
  <si>
    <t>New English School, Ghotavade</t>
  </si>
  <si>
    <t>Late Sahadev eknath nimhan maternity hospital, Pashan, Pune</t>
  </si>
  <si>
    <t>A Ray of Hope Charitable Trust</t>
  </si>
  <si>
    <t>SCOPE</t>
  </si>
  <si>
    <t>Jan Swasthya Sahyog</t>
  </si>
  <si>
    <t>Gram Urja</t>
  </si>
  <si>
    <t>Kala Raksha NGO</t>
  </si>
  <si>
    <t>Access Life Foundation</t>
  </si>
  <si>
    <t>Chaiim Foundation</t>
  </si>
  <si>
    <t>Raahi Foundation</t>
  </si>
  <si>
    <t>360 Degree NGO</t>
  </si>
  <si>
    <t>Help &amp; Hygiene for all Foundation</t>
  </si>
  <si>
    <t>Poornam Ecovision</t>
  </si>
  <si>
    <t>NABARD</t>
  </si>
  <si>
    <t>BAIF development research foundation</t>
  </si>
  <si>
    <t>The Mabav Foundation</t>
  </si>
  <si>
    <t>Devanshi Rathi Foundation</t>
  </si>
  <si>
    <t>Hara Jeevan</t>
  </si>
  <si>
    <t>Grassroot</t>
  </si>
  <si>
    <t>Bright Future, India</t>
  </si>
  <si>
    <t>The (ATRINA foundation )</t>
  </si>
  <si>
    <t>HelpAge</t>
  </si>
  <si>
    <t>The Indian Gender Project</t>
  </si>
  <si>
    <t>Center for youth  and development activities</t>
  </si>
  <si>
    <t>Titam Company Limited</t>
  </si>
  <si>
    <t>The Welfare of stray dogs</t>
  </si>
  <si>
    <t>For the Menstruator</t>
  </si>
  <si>
    <t>Shashvat Evaluation Foundation</t>
  </si>
  <si>
    <t>The society for door step school</t>
  </si>
  <si>
    <t>Sunderji's global alademia</t>
  </si>
  <si>
    <t>Design for change</t>
  </si>
  <si>
    <t>Blue the cross of hydrabad</t>
  </si>
  <si>
    <t>Teach for India</t>
  </si>
  <si>
    <t>Child rights and You</t>
  </si>
  <si>
    <t>People for Animals</t>
  </si>
  <si>
    <t>Institute of psychological and research</t>
  </si>
  <si>
    <t>Lit the Light Trust</t>
  </si>
  <si>
    <t>Devanshi Foundation</t>
  </si>
  <si>
    <t>Balipara Tract and frontier Foundation</t>
  </si>
  <si>
    <t>Centre for Action research and people's development</t>
  </si>
  <si>
    <t>Shashwat Eco Solution Foundation</t>
  </si>
  <si>
    <t>Pratigya</t>
  </si>
  <si>
    <t>Animalia-Welfare and more</t>
  </si>
  <si>
    <t>Vivekananda Girijana Kalyana Kendra</t>
  </si>
  <si>
    <t>Door step school</t>
  </si>
  <si>
    <t>Ladli foundation Trust</t>
  </si>
  <si>
    <t>Red Dot Foundation</t>
  </si>
  <si>
    <t>Urban Health and climate resilence center of 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</si>
</sst>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36"/>
  <sheetViews>
    <sheetView topLeftCell="A19" workbookViewId="0">
      <selection activeCell="G37" sqref="G37"/>
    </sheetView>
  </sheetViews>
  <sheetFormatPr defaultRowHeight="15" x14ac:dyDescent="0.25"/>
  <cols>
    <col min="21" max="21" width="50.5703125" customWidth="1"/>
  </cols>
  <sheetData>
    <row r="3" spans="1:21" ht="225" x14ac:dyDescent="0.25">
      <c r="A3" t="s">
        <v>0</v>
      </c>
      <c r="B3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</row>
    <row r="5" spans="1:21" ht="37.5" x14ac:dyDescent="0.25">
      <c r="F5">
        <v>1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U5" s="16" t="s">
        <v>35</v>
      </c>
    </row>
    <row r="6" spans="1:21" ht="18.75" x14ac:dyDescent="0.25">
      <c r="F6">
        <v>2</v>
      </c>
      <c r="G6" s="2">
        <v>2</v>
      </c>
      <c r="H6" s="2">
        <v>6</v>
      </c>
      <c r="I6" s="2">
        <v>6</v>
      </c>
      <c r="J6" s="2">
        <v>5</v>
      </c>
      <c r="K6" s="2">
        <v>3</v>
      </c>
      <c r="L6" s="2">
        <v>2</v>
      </c>
      <c r="M6" s="2">
        <v>4</v>
      </c>
      <c r="N6" s="2">
        <v>5</v>
      </c>
      <c r="O6" s="2">
        <v>7</v>
      </c>
      <c r="P6" s="2">
        <v>1</v>
      </c>
      <c r="U6" s="16" t="s">
        <v>36</v>
      </c>
    </row>
    <row r="7" spans="1:21" ht="18.75" x14ac:dyDescent="0.25">
      <c r="F7">
        <v>3</v>
      </c>
      <c r="G7" s="2">
        <v>126</v>
      </c>
      <c r="H7" s="2">
        <v>126</v>
      </c>
      <c r="I7" s="2">
        <v>125</v>
      </c>
      <c r="J7" s="2">
        <v>121</v>
      </c>
      <c r="K7" s="2">
        <v>112</v>
      </c>
      <c r="L7" s="2">
        <v>92</v>
      </c>
      <c r="M7" s="2">
        <v>100</v>
      </c>
      <c r="N7" s="2">
        <v>109</v>
      </c>
      <c r="O7" s="2">
        <v>84</v>
      </c>
      <c r="P7" s="2">
        <v>89</v>
      </c>
      <c r="U7" s="16" t="s">
        <v>37</v>
      </c>
    </row>
    <row r="8" spans="1:21" ht="18.75" x14ac:dyDescent="0.25">
      <c r="F8">
        <v>4</v>
      </c>
      <c r="G8" s="2">
        <v>148</v>
      </c>
      <c r="H8" s="2">
        <v>326</v>
      </c>
      <c r="I8" s="2">
        <v>349</v>
      </c>
      <c r="J8" s="2">
        <v>414</v>
      </c>
      <c r="K8" s="2">
        <v>425</v>
      </c>
      <c r="L8" s="2">
        <v>425</v>
      </c>
      <c r="M8" s="2">
        <v>380</v>
      </c>
      <c r="N8" s="2">
        <v>367</v>
      </c>
      <c r="O8" s="2">
        <v>338</v>
      </c>
      <c r="P8" s="2">
        <v>300</v>
      </c>
      <c r="U8" s="16" t="s">
        <v>38</v>
      </c>
    </row>
    <row r="9" spans="1:21" ht="18.75" x14ac:dyDescent="0.25">
      <c r="F9">
        <v>5</v>
      </c>
      <c r="G9" s="2">
        <v>397</v>
      </c>
      <c r="H9" s="2">
        <v>215</v>
      </c>
      <c r="I9" s="2">
        <v>193</v>
      </c>
      <c r="J9" s="2">
        <v>131</v>
      </c>
      <c r="K9" s="2">
        <v>131</v>
      </c>
      <c r="L9" s="2">
        <v>154</v>
      </c>
      <c r="M9" s="2">
        <v>189</v>
      </c>
      <c r="N9" s="2">
        <v>192</v>
      </c>
      <c r="O9" s="2">
        <v>244</v>
      </c>
      <c r="P9" s="2">
        <v>282</v>
      </c>
      <c r="U9" s="16" t="s">
        <v>39</v>
      </c>
    </row>
    <row r="10" spans="1:21" ht="18.75" x14ac:dyDescent="0.25">
      <c r="U10" s="16" t="s">
        <v>40</v>
      </c>
    </row>
    <row r="11" spans="1:21" ht="18.75" x14ac:dyDescent="0.25">
      <c r="A11" t="s">
        <v>12</v>
      </c>
      <c r="B11" t="s">
        <v>13</v>
      </c>
      <c r="G11" s="22" t="s">
        <v>14</v>
      </c>
      <c r="H11" s="22" t="s">
        <v>15</v>
      </c>
      <c r="I11" s="22" t="s">
        <v>16</v>
      </c>
      <c r="J11" s="22" t="s">
        <v>17</v>
      </c>
      <c r="K11" s="22" t="s">
        <v>18</v>
      </c>
      <c r="L11" s="22" t="s">
        <v>19</v>
      </c>
      <c r="U11" s="16" t="s">
        <v>39</v>
      </c>
    </row>
    <row r="12" spans="1:21" ht="18.75" x14ac:dyDescent="0.25">
      <c r="G12" s="23"/>
      <c r="H12" s="23"/>
      <c r="I12" s="23"/>
      <c r="J12" s="23"/>
      <c r="K12" s="23"/>
      <c r="L12" s="23"/>
      <c r="U12" s="6" t="s">
        <v>41</v>
      </c>
    </row>
    <row r="13" spans="1:21" ht="18.75" x14ac:dyDescent="0.25">
      <c r="F13">
        <v>1</v>
      </c>
      <c r="G13" s="3">
        <v>10</v>
      </c>
      <c r="H13" s="3">
        <v>8</v>
      </c>
      <c r="I13" s="3">
        <v>10</v>
      </c>
      <c r="J13" s="3">
        <v>17</v>
      </c>
      <c r="K13" s="3">
        <v>11</v>
      </c>
      <c r="L13" s="3">
        <v>13</v>
      </c>
      <c r="U13" s="16" t="s">
        <v>42</v>
      </c>
    </row>
    <row r="14" spans="1:21" ht="18.75" x14ac:dyDescent="0.25">
      <c r="F14">
        <v>2</v>
      </c>
      <c r="G14" s="3">
        <v>18</v>
      </c>
      <c r="H14" s="3">
        <v>39</v>
      </c>
      <c r="I14" s="3">
        <v>41</v>
      </c>
      <c r="J14" s="3">
        <v>49</v>
      </c>
      <c r="K14" s="3">
        <v>30</v>
      </c>
      <c r="L14" s="3">
        <v>32</v>
      </c>
      <c r="U14" s="16" t="s">
        <v>43</v>
      </c>
    </row>
    <row r="15" spans="1:21" ht="37.5" x14ac:dyDescent="0.25">
      <c r="F15">
        <v>3</v>
      </c>
      <c r="G15" s="3">
        <v>68</v>
      </c>
      <c r="H15" s="3">
        <v>84</v>
      </c>
      <c r="I15" s="3">
        <v>75</v>
      </c>
      <c r="J15" s="3">
        <v>106</v>
      </c>
      <c r="K15" s="3">
        <v>65</v>
      </c>
      <c r="L15" s="3">
        <v>77</v>
      </c>
      <c r="U15" s="16" t="s">
        <v>44</v>
      </c>
    </row>
    <row r="16" spans="1:21" ht="18.75" x14ac:dyDescent="0.25">
      <c r="F16">
        <v>4</v>
      </c>
      <c r="G16" s="3">
        <v>217</v>
      </c>
      <c r="H16" s="3">
        <v>241</v>
      </c>
      <c r="I16" s="3">
        <v>260</v>
      </c>
      <c r="J16" s="3">
        <v>233</v>
      </c>
      <c r="K16" s="3">
        <v>215</v>
      </c>
      <c r="L16" s="3">
        <v>202</v>
      </c>
      <c r="U16" s="16" t="s">
        <v>45</v>
      </c>
    </row>
    <row r="17" spans="1:21" ht="37.5" x14ac:dyDescent="0.25">
      <c r="F17">
        <v>5</v>
      </c>
      <c r="G17" s="3">
        <v>492</v>
      </c>
      <c r="H17" s="3">
        <v>433</v>
      </c>
      <c r="I17" s="3">
        <v>419</v>
      </c>
      <c r="J17" s="3">
        <v>400</v>
      </c>
      <c r="K17" s="3">
        <v>484</v>
      </c>
      <c r="L17" s="3">
        <v>481</v>
      </c>
      <c r="U17" s="16" t="s">
        <v>46</v>
      </c>
    </row>
    <row r="18" spans="1:21" ht="37.5" x14ac:dyDescent="0.25">
      <c r="U18" s="16" t="s">
        <v>47</v>
      </c>
    </row>
    <row r="19" spans="1:21" ht="18.75" x14ac:dyDescent="0.25">
      <c r="A19" t="s">
        <v>12</v>
      </c>
      <c r="B19" t="s">
        <v>21</v>
      </c>
      <c r="G19" s="21" t="s">
        <v>22</v>
      </c>
      <c r="H19" s="21" t="s">
        <v>23</v>
      </c>
      <c r="I19" s="21" t="s">
        <v>24</v>
      </c>
      <c r="J19" s="21" t="s">
        <v>25</v>
      </c>
      <c r="K19" s="21" t="s">
        <v>26</v>
      </c>
      <c r="U19" s="16" t="s">
        <v>36</v>
      </c>
    </row>
    <row r="20" spans="1:21" ht="18.75" x14ac:dyDescent="0.25">
      <c r="G20" s="21"/>
      <c r="H20" s="21"/>
      <c r="I20" s="21"/>
      <c r="J20" s="21"/>
      <c r="K20" s="21"/>
      <c r="U20" s="16" t="s">
        <v>48</v>
      </c>
    </row>
    <row r="21" spans="1:21" ht="25.5" x14ac:dyDescent="0.25">
      <c r="F21">
        <v>1</v>
      </c>
      <c r="G21" s="4">
        <v>6</v>
      </c>
      <c r="H21" s="4">
        <v>9</v>
      </c>
      <c r="I21" s="4">
        <v>11</v>
      </c>
      <c r="J21" s="4">
        <v>20</v>
      </c>
      <c r="K21" s="4">
        <v>6</v>
      </c>
      <c r="U21" s="16" t="s">
        <v>49</v>
      </c>
    </row>
    <row r="22" spans="1:21" ht="25.5" x14ac:dyDescent="0.25">
      <c r="F22">
        <v>2</v>
      </c>
      <c r="G22" s="4">
        <v>29</v>
      </c>
      <c r="H22" s="4">
        <v>18</v>
      </c>
      <c r="I22" s="4">
        <v>19</v>
      </c>
      <c r="J22" s="4">
        <v>34</v>
      </c>
      <c r="K22" s="4">
        <v>28</v>
      </c>
      <c r="U22" s="16" t="s">
        <v>50</v>
      </c>
    </row>
    <row r="23" spans="1:21" ht="25.5" x14ac:dyDescent="0.25">
      <c r="F23">
        <v>3</v>
      </c>
      <c r="G23" s="4">
        <v>68</v>
      </c>
      <c r="H23" s="4">
        <v>73</v>
      </c>
      <c r="I23" s="4">
        <v>74</v>
      </c>
      <c r="J23" s="4">
        <v>128</v>
      </c>
      <c r="K23" s="4">
        <v>104</v>
      </c>
      <c r="U23" s="16" t="s">
        <v>51</v>
      </c>
    </row>
    <row r="24" spans="1:21" ht="25.5" x14ac:dyDescent="0.25">
      <c r="F24">
        <v>4</v>
      </c>
      <c r="G24" s="4">
        <v>244</v>
      </c>
      <c r="H24" s="4">
        <v>276</v>
      </c>
      <c r="I24" s="4">
        <v>240</v>
      </c>
      <c r="J24" s="4">
        <v>292</v>
      </c>
      <c r="K24" s="4">
        <v>268</v>
      </c>
      <c r="U24" s="16" t="s">
        <v>52</v>
      </c>
    </row>
    <row r="25" spans="1:21" ht="25.5" x14ac:dyDescent="0.25">
      <c r="F25">
        <v>5</v>
      </c>
      <c r="G25" s="4">
        <v>457</v>
      </c>
      <c r="H25" s="4">
        <v>428</v>
      </c>
      <c r="I25" s="4">
        <v>460</v>
      </c>
      <c r="J25" s="4">
        <v>330</v>
      </c>
      <c r="K25" s="4">
        <v>398</v>
      </c>
      <c r="U25" s="17" t="s">
        <v>53</v>
      </c>
    </row>
    <row r="36" spans="7:7" x14ac:dyDescent="0.25">
      <c r="G36">
        <f>SUM(G21:G25)</f>
        <v>804</v>
      </c>
    </row>
  </sheetData>
  <mergeCells count="11">
    <mergeCell ref="L11:L12"/>
    <mergeCell ref="G11:G12"/>
    <mergeCell ref="H11:H12"/>
    <mergeCell ref="I11:I12"/>
    <mergeCell ref="J11:J12"/>
    <mergeCell ref="K11:K12"/>
    <mergeCell ref="G19:G20"/>
    <mergeCell ref="H19:H20"/>
    <mergeCell ref="I19:I20"/>
    <mergeCell ref="J19:J20"/>
    <mergeCell ref="K19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W37"/>
  <sheetViews>
    <sheetView topLeftCell="A22" workbookViewId="0">
      <selection activeCell="F38" sqref="F38"/>
    </sheetView>
  </sheetViews>
  <sheetFormatPr defaultRowHeight="15" x14ac:dyDescent="0.25"/>
  <cols>
    <col min="23" max="23" width="32.42578125" customWidth="1"/>
  </cols>
  <sheetData>
    <row r="6" spans="4:23" ht="225" x14ac:dyDescent="0.25">
      <c r="D6" t="s">
        <v>20</v>
      </c>
      <c r="E6" t="s">
        <v>1</v>
      </c>
      <c r="I6" s="1" t="s">
        <v>2</v>
      </c>
      <c r="J6" s="1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 t="s">
        <v>9</v>
      </c>
      <c r="Q6" s="1" t="s">
        <v>10</v>
      </c>
      <c r="R6" s="1" t="s">
        <v>11</v>
      </c>
    </row>
    <row r="8" spans="4:23" ht="18.75" x14ac:dyDescent="0.25">
      <c r="H8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W8" s="16" t="s">
        <v>54</v>
      </c>
    </row>
    <row r="9" spans="4:23" ht="18.75" x14ac:dyDescent="0.25">
      <c r="H9">
        <v>2</v>
      </c>
      <c r="I9" s="5">
        <v>2</v>
      </c>
      <c r="J9" s="5">
        <v>7</v>
      </c>
      <c r="K9" s="5">
        <v>4</v>
      </c>
      <c r="L9" s="5">
        <v>4</v>
      </c>
      <c r="M9" s="5">
        <v>4</v>
      </c>
      <c r="N9" s="5">
        <v>5</v>
      </c>
      <c r="O9" s="5">
        <v>5</v>
      </c>
      <c r="P9" s="5">
        <v>6</v>
      </c>
      <c r="Q9" s="5">
        <v>5</v>
      </c>
      <c r="R9" s="5">
        <v>2</v>
      </c>
      <c r="W9" s="16" t="s">
        <v>35</v>
      </c>
    </row>
    <row r="10" spans="4:23" ht="18.75" x14ac:dyDescent="0.25">
      <c r="H10">
        <v>3</v>
      </c>
      <c r="I10" s="5">
        <v>18</v>
      </c>
      <c r="J10" s="5">
        <v>21</v>
      </c>
      <c r="K10" s="5">
        <v>23</v>
      </c>
      <c r="L10" s="5">
        <v>300</v>
      </c>
      <c r="M10" s="5">
        <v>23</v>
      </c>
      <c r="N10" s="5">
        <v>27</v>
      </c>
      <c r="O10" s="5">
        <v>32</v>
      </c>
      <c r="P10" s="5">
        <v>36</v>
      </c>
      <c r="Q10" s="5">
        <v>36</v>
      </c>
      <c r="R10" s="5">
        <v>21</v>
      </c>
      <c r="W10" s="6" t="s">
        <v>55</v>
      </c>
    </row>
    <row r="11" spans="4:23" ht="18.75" x14ac:dyDescent="0.25">
      <c r="H11">
        <v>4</v>
      </c>
      <c r="I11" s="5">
        <v>101</v>
      </c>
      <c r="J11" s="5">
        <v>424</v>
      </c>
      <c r="K11" s="5">
        <v>381</v>
      </c>
      <c r="L11" s="5">
        <v>183</v>
      </c>
      <c r="M11" s="5">
        <v>388</v>
      </c>
      <c r="N11" s="5">
        <v>445</v>
      </c>
      <c r="O11" s="5">
        <v>391</v>
      </c>
      <c r="P11" s="5">
        <v>451</v>
      </c>
      <c r="Q11" s="5">
        <v>367</v>
      </c>
      <c r="R11" s="5">
        <v>458</v>
      </c>
      <c r="W11" s="16" t="s">
        <v>56</v>
      </c>
    </row>
    <row r="12" spans="4:23" ht="18.75" x14ac:dyDescent="0.25">
      <c r="H12">
        <v>5</v>
      </c>
      <c r="I12" s="5">
        <v>444</v>
      </c>
      <c r="J12" s="5">
        <v>113</v>
      </c>
      <c r="K12" s="5">
        <v>156</v>
      </c>
      <c r="L12" s="5">
        <v>78</v>
      </c>
      <c r="M12" s="5">
        <v>150</v>
      </c>
      <c r="N12" s="5">
        <v>88</v>
      </c>
      <c r="O12" s="5">
        <v>138</v>
      </c>
      <c r="P12" s="5">
        <v>74</v>
      </c>
      <c r="Q12" s="5">
        <v>156</v>
      </c>
      <c r="R12" s="5">
        <v>83</v>
      </c>
      <c r="W12" s="16" t="s">
        <v>36</v>
      </c>
    </row>
    <row r="13" spans="4:23" ht="18.75" x14ac:dyDescent="0.25">
      <c r="W13" s="16" t="s">
        <v>57</v>
      </c>
    </row>
    <row r="14" spans="4:23" ht="56.25" x14ac:dyDescent="0.25">
      <c r="W14" s="16" t="s">
        <v>58</v>
      </c>
    </row>
    <row r="15" spans="4:23" ht="18.75" x14ac:dyDescent="0.25">
      <c r="D15" t="s">
        <v>27</v>
      </c>
      <c r="F15" s="22" t="s">
        <v>14</v>
      </c>
      <c r="G15" s="22" t="s">
        <v>15</v>
      </c>
      <c r="H15" s="22" t="s">
        <v>16</v>
      </c>
      <c r="I15" s="22" t="s">
        <v>17</v>
      </c>
      <c r="J15" s="22" t="s">
        <v>18</v>
      </c>
      <c r="K15" s="22" t="s">
        <v>19</v>
      </c>
      <c r="W15" s="16" t="s">
        <v>59</v>
      </c>
    </row>
    <row r="16" spans="4:23" ht="18.75" x14ac:dyDescent="0.25">
      <c r="F16" s="23"/>
      <c r="G16" s="23"/>
      <c r="H16" s="23"/>
      <c r="I16" s="23"/>
      <c r="J16" s="23"/>
      <c r="K16" s="23"/>
      <c r="W16" s="16" t="s">
        <v>60</v>
      </c>
    </row>
    <row r="17" spans="4:23" ht="18.75" x14ac:dyDescent="0.25">
      <c r="E17">
        <v>1</v>
      </c>
      <c r="F17" s="6">
        <v>2</v>
      </c>
      <c r="G17" s="6">
        <v>1</v>
      </c>
      <c r="H17" s="6">
        <v>5</v>
      </c>
      <c r="I17" s="6">
        <v>15</v>
      </c>
      <c r="J17" s="6">
        <v>6</v>
      </c>
      <c r="K17" s="6">
        <v>3</v>
      </c>
      <c r="W17" s="16" t="s">
        <v>61</v>
      </c>
    </row>
    <row r="18" spans="4:23" ht="18.75" x14ac:dyDescent="0.25">
      <c r="E18">
        <v>2</v>
      </c>
      <c r="F18" s="6">
        <v>38</v>
      </c>
      <c r="G18" s="6">
        <v>14</v>
      </c>
      <c r="H18" s="6">
        <v>11</v>
      </c>
      <c r="I18" s="6">
        <v>16</v>
      </c>
      <c r="J18" s="6">
        <v>11</v>
      </c>
      <c r="K18" s="6">
        <v>3</v>
      </c>
      <c r="W18" s="16" t="s">
        <v>62</v>
      </c>
    </row>
    <row r="19" spans="4:23" ht="18.75" x14ac:dyDescent="0.25">
      <c r="E19">
        <v>3</v>
      </c>
      <c r="F19" s="6">
        <v>68</v>
      </c>
      <c r="G19" s="6">
        <v>68</v>
      </c>
      <c r="H19" s="6">
        <v>68</v>
      </c>
      <c r="I19" s="6">
        <v>68</v>
      </c>
      <c r="J19" s="6">
        <v>68</v>
      </c>
      <c r="K19" s="6">
        <v>68</v>
      </c>
      <c r="W19" s="16" t="s">
        <v>61</v>
      </c>
    </row>
    <row r="20" spans="4:23" ht="18.75" x14ac:dyDescent="0.25">
      <c r="E20">
        <v>4</v>
      </c>
      <c r="F20" s="6">
        <v>79</v>
      </c>
      <c r="G20" s="6">
        <v>98</v>
      </c>
      <c r="H20" s="6">
        <v>155</v>
      </c>
      <c r="I20" s="6">
        <v>154</v>
      </c>
      <c r="J20" s="6">
        <v>84</v>
      </c>
      <c r="K20" s="6">
        <v>76</v>
      </c>
      <c r="W20" s="16" t="s">
        <v>63</v>
      </c>
    </row>
    <row r="21" spans="4:23" ht="18.75" x14ac:dyDescent="0.25">
      <c r="E21">
        <v>5</v>
      </c>
      <c r="F21" s="6">
        <v>358</v>
      </c>
      <c r="G21" s="6">
        <v>339</v>
      </c>
      <c r="H21" s="6">
        <v>293</v>
      </c>
      <c r="I21" s="6">
        <v>281</v>
      </c>
      <c r="J21" s="6">
        <v>368</v>
      </c>
      <c r="K21" s="6">
        <v>407</v>
      </c>
      <c r="W21" s="16" t="s">
        <v>64</v>
      </c>
    </row>
    <row r="22" spans="4:23" ht="37.5" x14ac:dyDescent="0.25">
      <c r="W22" s="16" t="s">
        <v>65</v>
      </c>
    </row>
    <row r="23" spans="4:23" ht="18.75" x14ac:dyDescent="0.25">
      <c r="W23" s="16" t="s">
        <v>66</v>
      </c>
    </row>
    <row r="24" spans="4:23" ht="18.75" x14ac:dyDescent="0.25">
      <c r="D24" t="s">
        <v>28</v>
      </c>
      <c r="F24" s="21" t="s">
        <v>22</v>
      </c>
      <c r="G24" s="21" t="s">
        <v>23</v>
      </c>
      <c r="H24" s="21" t="s">
        <v>24</v>
      </c>
      <c r="I24" s="21" t="s">
        <v>25</v>
      </c>
      <c r="J24" s="21" t="s">
        <v>26</v>
      </c>
      <c r="W24" s="16" t="s">
        <v>67</v>
      </c>
    </row>
    <row r="25" spans="4:23" ht="18.75" x14ac:dyDescent="0.25">
      <c r="F25" s="21"/>
      <c r="G25" s="21"/>
      <c r="H25" s="21"/>
      <c r="I25" s="21"/>
      <c r="J25" s="21"/>
      <c r="W25" s="16" t="s">
        <v>68</v>
      </c>
    </row>
    <row r="26" spans="4:23" ht="37.5" x14ac:dyDescent="0.25">
      <c r="E26">
        <v>1</v>
      </c>
      <c r="F26" s="7">
        <v>2</v>
      </c>
      <c r="G26" s="7">
        <v>2</v>
      </c>
      <c r="H26" s="7">
        <v>2</v>
      </c>
      <c r="I26" s="7">
        <v>2</v>
      </c>
      <c r="J26" s="7">
        <v>2</v>
      </c>
      <c r="W26" s="16" t="s">
        <v>69</v>
      </c>
    </row>
    <row r="27" spans="4:23" ht="37.5" x14ac:dyDescent="0.25">
      <c r="E27">
        <v>2</v>
      </c>
      <c r="F27" s="7">
        <v>3</v>
      </c>
      <c r="G27" s="7">
        <v>3</v>
      </c>
      <c r="H27" s="7">
        <v>4</v>
      </c>
      <c r="I27" s="7">
        <v>23</v>
      </c>
      <c r="J27" s="7">
        <v>16</v>
      </c>
      <c r="W27" s="16" t="s">
        <v>70</v>
      </c>
    </row>
    <row r="28" spans="4:23" ht="18.75" x14ac:dyDescent="0.25">
      <c r="E28">
        <v>3</v>
      </c>
      <c r="F28" s="7">
        <v>19</v>
      </c>
      <c r="G28" s="7">
        <v>24</v>
      </c>
      <c r="H28" s="7">
        <v>24</v>
      </c>
      <c r="I28" s="7">
        <v>87</v>
      </c>
      <c r="J28" s="7">
        <v>112</v>
      </c>
      <c r="W28" s="16" t="s">
        <v>71</v>
      </c>
    </row>
    <row r="29" spans="4:23" ht="37.5" x14ac:dyDescent="0.25">
      <c r="E29">
        <v>4</v>
      </c>
      <c r="F29" s="7">
        <v>104</v>
      </c>
      <c r="G29" s="7">
        <v>120</v>
      </c>
      <c r="H29" s="7">
        <v>117</v>
      </c>
      <c r="I29" s="7">
        <v>121</v>
      </c>
      <c r="J29" s="7">
        <v>94</v>
      </c>
      <c r="W29" s="16" t="s">
        <v>72</v>
      </c>
    </row>
    <row r="30" spans="4:23" ht="37.5" x14ac:dyDescent="0.25">
      <c r="E30">
        <v>5</v>
      </c>
      <c r="F30" s="7">
        <v>391</v>
      </c>
      <c r="G30" s="7">
        <v>370</v>
      </c>
      <c r="H30" s="7">
        <v>372</v>
      </c>
      <c r="I30" s="7">
        <v>286</v>
      </c>
      <c r="J30" s="7">
        <v>295</v>
      </c>
      <c r="W30" s="16" t="s">
        <v>73</v>
      </c>
    </row>
    <row r="31" spans="4:23" ht="18.75" x14ac:dyDescent="0.25">
      <c r="W31" s="16" t="s">
        <v>74</v>
      </c>
    </row>
    <row r="37" spans="6:6" x14ac:dyDescent="0.25">
      <c r="F37">
        <f>SUM(F26:F30)</f>
        <v>519</v>
      </c>
    </row>
  </sheetData>
  <mergeCells count="11">
    <mergeCell ref="K15:K16"/>
    <mergeCell ref="F15:F16"/>
    <mergeCell ref="G15:G16"/>
    <mergeCell ref="H15:H16"/>
    <mergeCell ref="I15:I16"/>
    <mergeCell ref="J15:J16"/>
    <mergeCell ref="F24:F25"/>
    <mergeCell ref="G24:G25"/>
    <mergeCell ref="H24:H25"/>
    <mergeCell ref="I24:I25"/>
    <mergeCell ref="J24:J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7"/>
  <sheetViews>
    <sheetView topLeftCell="A10" workbookViewId="0">
      <selection activeCell="I28" sqref="I28"/>
    </sheetView>
  </sheetViews>
  <sheetFormatPr defaultRowHeight="15" x14ac:dyDescent="0.25"/>
  <cols>
    <col min="22" max="22" width="49.5703125" customWidth="1"/>
  </cols>
  <sheetData>
    <row r="2" spans="1:22" x14ac:dyDescent="0.25">
      <c r="A2" t="s">
        <v>29</v>
      </c>
    </row>
    <row r="6" spans="1:22" ht="225" x14ac:dyDescent="0.25">
      <c r="F6" t="s">
        <v>1</v>
      </c>
      <c r="I6" s="1" t="s">
        <v>2</v>
      </c>
      <c r="J6" s="1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 t="s">
        <v>9</v>
      </c>
      <c r="Q6" s="1" t="s">
        <v>10</v>
      </c>
      <c r="R6" s="1" t="s">
        <v>11</v>
      </c>
    </row>
    <row r="8" spans="1:22" ht="18.75" x14ac:dyDescent="0.25">
      <c r="H8">
        <v>1</v>
      </c>
      <c r="I8" s="5">
        <v>1</v>
      </c>
      <c r="J8" s="5">
        <v>1</v>
      </c>
      <c r="K8" s="5">
        <v>2</v>
      </c>
      <c r="L8" s="5">
        <v>1</v>
      </c>
      <c r="M8" s="5">
        <v>2</v>
      </c>
      <c r="N8" s="5">
        <v>2</v>
      </c>
      <c r="O8" s="5">
        <v>2</v>
      </c>
      <c r="P8" s="5">
        <v>2</v>
      </c>
      <c r="Q8" s="5">
        <v>3</v>
      </c>
      <c r="R8" s="5">
        <v>4</v>
      </c>
    </row>
    <row r="9" spans="1:22" ht="37.5" x14ac:dyDescent="0.25">
      <c r="H9">
        <v>2</v>
      </c>
      <c r="I9" s="5">
        <v>9</v>
      </c>
      <c r="J9" s="5">
        <v>8</v>
      </c>
      <c r="K9" s="5">
        <v>13</v>
      </c>
      <c r="L9" s="5">
        <v>11</v>
      </c>
      <c r="M9" s="5">
        <v>10</v>
      </c>
      <c r="N9" s="5">
        <v>12</v>
      </c>
      <c r="O9" s="5">
        <v>16</v>
      </c>
      <c r="P9" s="5">
        <v>16</v>
      </c>
      <c r="Q9" s="5">
        <v>11</v>
      </c>
      <c r="R9" s="5">
        <v>10</v>
      </c>
      <c r="V9" s="6" t="s">
        <v>75</v>
      </c>
    </row>
    <row r="10" spans="1:22" ht="18.75" x14ac:dyDescent="0.25">
      <c r="H10">
        <v>3</v>
      </c>
      <c r="I10" s="5">
        <v>30</v>
      </c>
      <c r="J10" s="5">
        <v>31</v>
      </c>
      <c r="K10" s="5">
        <v>22</v>
      </c>
      <c r="L10" s="5">
        <v>37</v>
      </c>
      <c r="M10" s="5">
        <v>36</v>
      </c>
      <c r="N10" s="5">
        <v>27</v>
      </c>
      <c r="O10" s="5">
        <v>24</v>
      </c>
      <c r="P10" s="5">
        <v>33</v>
      </c>
      <c r="Q10" s="5">
        <v>25</v>
      </c>
      <c r="R10" s="5">
        <v>27</v>
      </c>
      <c r="V10" s="6" t="s">
        <v>35</v>
      </c>
    </row>
    <row r="11" spans="1:22" ht="18.75" x14ac:dyDescent="0.25">
      <c r="H11">
        <v>4</v>
      </c>
      <c r="I11" s="5">
        <v>98</v>
      </c>
      <c r="J11" s="5">
        <v>75</v>
      </c>
      <c r="K11" s="5">
        <v>92</v>
      </c>
      <c r="L11" s="5">
        <v>101</v>
      </c>
      <c r="M11" s="5">
        <v>100</v>
      </c>
      <c r="N11" s="5">
        <v>103</v>
      </c>
      <c r="O11" s="5">
        <v>95</v>
      </c>
      <c r="P11" s="5">
        <v>108</v>
      </c>
      <c r="Q11" s="5">
        <v>105</v>
      </c>
      <c r="R11" s="5">
        <v>95</v>
      </c>
      <c r="V11" s="6" t="s">
        <v>76</v>
      </c>
    </row>
    <row r="12" spans="1:22" ht="18.75" x14ac:dyDescent="0.25">
      <c r="H12">
        <v>5</v>
      </c>
      <c r="I12" s="5">
        <v>82</v>
      </c>
      <c r="J12" s="5">
        <v>105</v>
      </c>
      <c r="K12" s="5">
        <v>91</v>
      </c>
      <c r="L12" s="5">
        <v>70</v>
      </c>
      <c r="M12" s="5">
        <v>72</v>
      </c>
      <c r="N12" s="5">
        <v>76</v>
      </c>
      <c r="O12" s="5">
        <v>83</v>
      </c>
      <c r="P12" s="5">
        <v>61</v>
      </c>
      <c r="Q12" s="5">
        <v>76</v>
      </c>
      <c r="R12" s="5">
        <v>84</v>
      </c>
      <c r="V12" s="6" t="s">
        <v>76</v>
      </c>
    </row>
    <row r="16" spans="1:22" ht="18.75" x14ac:dyDescent="0.25">
      <c r="F16" t="s">
        <v>13</v>
      </c>
      <c r="H16">
        <v>1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1</v>
      </c>
    </row>
    <row r="17" spans="8:14" ht="18.75" x14ac:dyDescent="0.25">
      <c r="H17">
        <v>2</v>
      </c>
      <c r="I17" s="3">
        <v>7</v>
      </c>
      <c r="J17" s="3">
        <v>1</v>
      </c>
      <c r="K17" s="3">
        <v>4</v>
      </c>
      <c r="L17" s="3">
        <v>5</v>
      </c>
      <c r="M17" s="3">
        <v>0</v>
      </c>
      <c r="N17" s="3">
        <v>7</v>
      </c>
    </row>
    <row r="18" spans="8:14" ht="18.75" x14ac:dyDescent="0.25">
      <c r="H18">
        <v>3</v>
      </c>
      <c r="I18" s="3">
        <v>21</v>
      </c>
      <c r="J18" s="3">
        <v>36</v>
      </c>
      <c r="K18" s="3">
        <v>41</v>
      </c>
      <c r="L18" s="3">
        <v>19</v>
      </c>
      <c r="M18" s="3">
        <v>38</v>
      </c>
      <c r="N18" s="3">
        <v>19</v>
      </c>
    </row>
    <row r="19" spans="8:14" ht="18.75" x14ac:dyDescent="0.25">
      <c r="H19">
        <v>4</v>
      </c>
      <c r="I19" s="3">
        <v>51</v>
      </c>
      <c r="J19" s="3">
        <v>70</v>
      </c>
      <c r="K19" s="3">
        <v>69</v>
      </c>
      <c r="L19" s="3">
        <v>82</v>
      </c>
      <c r="M19" s="3">
        <v>77</v>
      </c>
      <c r="N19" s="3">
        <v>61</v>
      </c>
    </row>
    <row r="20" spans="8:14" ht="18.75" x14ac:dyDescent="0.25">
      <c r="H20">
        <v>5</v>
      </c>
      <c r="I20" s="3">
        <v>141</v>
      </c>
      <c r="J20" s="3">
        <v>113</v>
      </c>
      <c r="K20" s="3">
        <v>106</v>
      </c>
      <c r="L20" s="3">
        <v>114</v>
      </c>
      <c r="M20" s="3">
        <v>104</v>
      </c>
      <c r="N20" s="3">
        <v>132</v>
      </c>
    </row>
    <row r="27" spans="8:14" x14ac:dyDescent="0.25">
      <c r="I27">
        <f>SUM(I16:I20)</f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workbookViewId="0">
      <selection activeCell="H50" sqref="H50"/>
    </sheetView>
  </sheetViews>
  <sheetFormatPr defaultRowHeight="15" x14ac:dyDescent="0.25"/>
  <cols>
    <col min="22" max="22" width="58.140625" customWidth="1"/>
  </cols>
  <sheetData>
    <row r="2" spans="1:22" x14ac:dyDescent="0.25">
      <c r="A2" t="s">
        <v>30</v>
      </c>
    </row>
    <row r="8" spans="1:22" ht="19.5" customHeight="1" x14ac:dyDescent="0.25">
      <c r="V8" s="18" t="s">
        <v>77</v>
      </c>
    </row>
    <row r="9" spans="1:22" ht="37.5" x14ac:dyDescent="0.25">
      <c r="V9" s="18" t="s">
        <v>78</v>
      </c>
    </row>
    <row r="10" spans="1:22" ht="18.75" x14ac:dyDescent="0.25">
      <c r="V10" s="19" t="s">
        <v>79</v>
      </c>
    </row>
    <row r="11" spans="1:22" ht="18.75" x14ac:dyDescent="0.25">
      <c r="V11" s="19" t="s">
        <v>80</v>
      </c>
    </row>
    <row r="13" spans="1:22" x14ac:dyDescent="0.25">
      <c r="E13" t="s">
        <v>13</v>
      </c>
    </row>
    <row r="14" spans="1:22" x14ac:dyDescent="0.25">
      <c r="H14" s="22" t="s">
        <v>14</v>
      </c>
      <c r="I14" s="22" t="s">
        <v>15</v>
      </c>
      <c r="J14" s="22" t="s">
        <v>16</v>
      </c>
      <c r="K14" s="22" t="s">
        <v>17</v>
      </c>
      <c r="L14" s="22" t="s">
        <v>18</v>
      </c>
      <c r="M14" s="22" t="s">
        <v>19</v>
      </c>
    </row>
    <row r="15" spans="1:22" x14ac:dyDescent="0.25">
      <c r="H15" s="23"/>
      <c r="I15" s="23"/>
      <c r="J15" s="23"/>
      <c r="K15" s="23"/>
      <c r="L15" s="23"/>
      <c r="M15" s="23"/>
    </row>
    <row r="16" spans="1:22" ht="18.75" x14ac:dyDescent="0.25">
      <c r="G16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4:17" ht="18.75" x14ac:dyDescent="0.25">
      <c r="G17">
        <v>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4:17" ht="18.75" x14ac:dyDescent="0.25">
      <c r="G18">
        <v>3</v>
      </c>
      <c r="H18" s="8">
        <v>0</v>
      </c>
      <c r="I18" s="8">
        <v>1</v>
      </c>
      <c r="J18" s="8">
        <v>1</v>
      </c>
      <c r="K18" s="8">
        <v>0</v>
      </c>
      <c r="L18" s="8">
        <v>1</v>
      </c>
      <c r="M18" s="8">
        <v>0</v>
      </c>
    </row>
    <row r="19" spans="4:17" ht="18.75" x14ac:dyDescent="0.25">
      <c r="G19">
        <v>4</v>
      </c>
      <c r="H19" s="8">
        <v>80</v>
      </c>
      <c r="I19" s="8">
        <v>24</v>
      </c>
      <c r="J19" s="8">
        <v>88</v>
      </c>
      <c r="K19" s="8">
        <v>71</v>
      </c>
      <c r="L19" s="8">
        <v>67</v>
      </c>
      <c r="M19" s="8">
        <v>30</v>
      </c>
    </row>
    <row r="20" spans="4:17" ht="18.75" x14ac:dyDescent="0.25">
      <c r="G20">
        <v>5</v>
      </c>
      <c r="H20" s="8">
        <v>38</v>
      </c>
      <c r="I20" s="8">
        <v>93</v>
      </c>
      <c r="J20" s="8">
        <v>29</v>
      </c>
      <c r="K20" s="8">
        <v>47</v>
      </c>
      <c r="L20" s="8">
        <v>50</v>
      </c>
      <c r="M20" s="8">
        <v>88</v>
      </c>
    </row>
    <row r="25" spans="4:17" ht="225" x14ac:dyDescent="0.25">
      <c r="H25" s="1" t="s">
        <v>2</v>
      </c>
      <c r="I25" s="1" t="s">
        <v>3</v>
      </c>
      <c r="J25" s="1" t="s">
        <v>4</v>
      </c>
      <c r="K25" s="1" t="s">
        <v>5</v>
      </c>
      <c r="L25" s="1" t="s">
        <v>6</v>
      </c>
      <c r="M25" s="1" t="s">
        <v>7</v>
      </c>
      <c r="N25" s="1" t="s">
        <v>8</v>
      </c>
      <c r="O25" s="1" t="s">
        <v>9</v>
      </c>
      <c r="P25" s="1" t="s">
        <v>10</v>
      </c>
      <c r="Q25" s="1" t="s">
        <v>11</v>
      </c>
    </row>
    <row r="26" spans="4:17" x14ac:dyDescent="0.25">
      <c r="D26" t="s">
        <v>1</v>
      </c>
    </row>
    <row r="27" spans="4:17" ht="18.75" x14ac:dyDescent="0.25">
      <c r="G27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4:17" ht="18.75" x14ac:dyDescent="0.25">
      <c r="G28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4:17" ht="18.75" x14ac:dyDescent="0.25">
      <c r="G29">
        <v>3</v>
      </c>
      <c r="H29" s="5">
        <v>0</v>
      </c>
      <c r="I29" s="5">
        <v>0</v>
      </c>
      <c r="J29" s="5">
        <v>0</v>
      </c>
      <c r="K29" s="5">
        <v>8</v>
      </c>
      <c r="L29" s="5">
        <v>4</v>
      </c>
      <c r="M29" s="5">
        <v>5</v>
      </c>
      <c r="N29" s="5">
        <v>2</v>
      </c>
      <c r="O29" s="5">
        <v>9</v>
      </c>
      <c r="P29" s="5">
        <v>4</v>
      </c>
      <c r="Q29" s="5">
        <v>0</v>
      </c>
    </row>
    <row r="30" spans="4:17" ht="18.75" x14ac:dyDescent="0.25">
      <c r="G30">
        <v>4</v>
      </c>
      <c r="H30" s="5">
        <v>42</v>
      </c>
      <c r="I30" s="5">
        <v>83</v>
      </c>
      <c r="J30" s="5">
        <v>70</v>
      </c>
      <c r="K30" s="5">
        <v>81</v>
      </c>
      <c r="L30" s="5">
        <v>61</v>
      </c>
      <c r="M30" s="5">
        <v>68</v>
      </c>
      <c r="N30" s="5">
        <v>61</v>
      </c>
      <c r="O30" s="5">
        <v>71</v>
      </c>
      <c r="P30" s="5">
        <v>67</v>
      </c>
      <c r="Q30" s="5">
        <v>64</v>
      </c>
    </row>
    <row r="31" spans="4:17" ht="18.75" x14ac:dyDescent="0.25">
      <c r="G31">
        <v>5</v>
      </c>
      <c r="H31" s="5">
        <v>84</v>
      </c>
      <c r="I31" s="5">
        <v>43</v>
      </c>
      <c r="J31" s="5">
        <v>56</v>
      </c>
      <c r="K31" s="5">
        <v>37</v>
      </c>
      <c r="L31" s="5">
        <v>61</v>
      </c>
      <c r="M31" s="5">
        <v>53</v>
      </c>
      <c r="N31" s="5">
        <v>63</v>
      </c>
      <c r="O31" s="5">
        <v>46</v>
      </c>
      <c r="P31" s="5">
        <v>55</v>
      </c>
      <c r="Q31" s="5">
        <v>62</v>
      </c>
    </row>
    <row r="35" spans="4:12" x14ac:dyDescent="0.25">
      <c r="H35" s="21" t="s">
        <v>22</v>
      </c>
      <c r="I35" s="21" t="s">
        <v>23</v>
      </c>
      <c r="J35" s="21" t="s">
        <v>24</v>
      </c>
      <c r="K35" s="21" t="s">
        <v>25</v>
      </c>
      <c r="L35" s="21" t="s">
        <v>26</v>
      </c>
    </row>
    <row r="36" spans="4:12" x14ac:dyDescent="0.25">
      <c r="D36" t="s">
        <v>31</v>
      </c>
      <c r="H36" s="21"/>
      <c r="I36" s="21"/>
      <c r="J36" s="21"/>
      <c r="K36" s="21"/>
      <c r="L36" s="21"/>
    </row>
    <row r="37" spans="4:12" ht="23.25" x14ac:dyDescent="0.25">
      <c r="H37" s="9">
        <v>0</v>
      </c>
      <c r="I37" s="9">
        <v>0</v>
      </c>
      <c r="J37" s="9">
        <v>0</v>
      </c>
      <c r="K37" s="9">
        <v>0</v>
      </c>
      <c r="L37" s="9">
        <v>0</v>
      </c>
    </row>
    <row r="38" spans="4:12" ht="23.25" x14ac:dyDescent="0.25">
      <c r="H38" s="9">
        <v>0</v>
      </c>
      <c r="I38" s="9">
        <v>0</v>
      </c>
      <c r="J38" s="9">
        <v>0</v>
      </c>
      <c r="K38" s="9">
        <v>0</v>
      </c>
      <c r="L38" s="9">
        <v>0</v>
      </c>
    </row>
    <row r="39" spans="4:12" ht="23.25" x14ac:dyDescent="0.25">
      <c r="H39" s="9">
        <v>1</v>
      </c>
      <c r="I39" s="9">
        <v>0</v>
      </c>
      <c r="J39" s="9">
        <v>1</v>
      </c>
      <c r="K39" s="9">
        <v>3</v>
      </c>
      <c r="L39" s="9">
        <v>3</v>
      </c>
    </row>
    <row r="40" spans="4:12" ht="23.25" x14ac:dyDescent="0.25">
      <c r="H40" s="9">
        <v>6</v>
      </c>
      <c r="I40" s="9">
        <v>6</v>
      </c>
      <c r="J40" s="9">
        <v>16</v>
      </c>
      <c r="K40" s="9">
        <v>69</v>
      </c>
      <c r="L40" s="9">
        <v>3</v>
      </c>
    </row>
    <row r="41" spans="4:12" ht="23.25" x14ac:dyDescent="0.25">
      <c r="H41" s="9">
        <v>111</v>
      </c>
      <c r="I41" s="9">
        <v>112</v>
      </c>
      <c r="J41" s="9">
        <v>101</v>
      </c>
      <c r="K41" s="9">
        <v>46</v>
      </c>
      <c r="L41" s="9">
        <v>112</v>
      </c>
    </row>
    <row r="49" spans="8:8" x14ac:dyDescent="0.25">
      <c r="H49">
        <f>SUM(H37:H41)</f>
        <v>118</v>
      </c>
    </row>
  </sheetData>
  <mergeCells count="11">
    <mergeCell ref="M14:M15"/>
    <mergeCell ref="H14:H15"/>
    <mergeCell ref="I14:I15"/>
    <mergeCell ref="J14:J15"/>
    <mergeCell ref="K14:K15"/>
    <mergeCell ref="L14:L15"/>
    <mergeCell ref="H35:H36"/>
    <mergeCell ref="I35:I36"/>
    <mergeCell ref="J35:J36"/>
    <mergeCell ref="K35:K36"/>
    <mergeCell ref="L35:L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6"/>
  <sheetViews>
    <sheetView workbookViewId="0">
      <selection activeCell="E47" sqref="E47"/>
    </sheetView>
  </sheetViews>
  <sheetFormatPr defaultRowHeight="15" x14ac:dyDescent="0.25"/>
  <cols>
    <col min="23" max="23" width="31.140625" customWidth="1"/>
  </cols>
  <sheetData>
    <row r="2" spans="1:23" x14ac:dyDescent="0.25">
      <c r="A2" t="s">
        <v>32</v>
      </c>
    </row>
    <row r="11" spans="1:23" ht="37.5" x14ac:dyDescent="0.25">
      <c r="W11" s="6" t="s">
        <v>75</v>
      </c>
    </row>
    <row r="12" spans="1:23" ht="18.75" x14ac:dyDescent="0.25">
      <c r="C12" t="s">
        <v>31</v>
      </c>
      <c r="W12" s="6" t="s">
        <v>35</v>
      </c>
    </row>
    <row r="13" spans="1:23" ht="18.75" x14ac:dyDescent="0.25">
      <c r="E13" s="21" t="s">
        <v>22</v>
      </c>
      <c r="F13" s="21" t="s">
        <v>23</v>
      </c>
      <c r="G13" s="21" t="s">
        <v>24</v>
      </c>
      <c r="H13" s="21" t="s">
        <v>25</v>
      </c>
      <c r="I13" s="21" t="s">
        <v>26</v>
      </c>
      <c r="W13" s="6" t="s">
        <v>81</v>
      </c>
    </row>
    <row r="14" spans="1:23" ht="18.75" x14ac:dyDescent="0.25">
      <c r="E14" s="21"/>
      <c r="F14" s="21"/>
      <c r="G14" s="21"/>
      <c r="H14" s="21"/>
      <c r="I14" s="21"/>
      <c r="W14" s="6" t="s">
        <v>82</v>
      </c>
    </row>
    <row r="15" spans="1:23" ht="27" x14ac:dyDescent="0.35">
      <c r="E15" s="10">
        <v>10</v>
      </c>
      <c r="F15" s="10">
        <v>6</v>
      </c>
      <c r="G15" s="10">
        <v>8</v>
      </c>
      <c r="H15" s="10">
        <v>18</v>
      </c>
      <c r="I15" s="10">
        <v>21</v>
      </c>
      <c r="W15" s="6" t="s">
        <v>83</v>
      </c>
    </row>
    <row r="16" spans="1:23" ht="18.75" x14ac:dyDescent="0.25">
      <c r="E16">
        <v>41</v>
      </c>
      <c r="F16">
        <v>37</v>
      </c>
      <c r="G16">
        <v>44</v>
      </c>
      <c r="H16">
        <v>38</v>
      </c>
      <c r="I16">
        <v>46</v>
      </c>
      <c r="W16" s="20" t="s">
        <v>84</v>
      </c>
    </row>
    <row r="17" spans="2:23" ht="18.75" x14ac:dyDescent="0.25">
      <c r="E17">
        <v>60</v>
      </c>
      <c r="F17">
        <v>81</v>
      </c>
      <c r="G17">
        <v>63</v>
      </c>
      <c r="H17">
        <v>56</v>
      </c>
      <c r="I17">
        <v>54</v>
      </c>
      <c r="W17" s="6" t="s">
        <v>85</v>
      </c>
    </row>
    <row r="18" spans="2:23" ht="27" x14ac:dyDescent="0.35">
      <c r="E18" s="10">
        <v>49</v>
      </c>
      <c r="F18" s="10">
        <v>41</v>
      </c>
      <c r="G18" s="10">
        <v>48</v>
      </c>
      <c r="H18" s="10">
        <v>47</v>
      </c>
      <c r="I18" s="10">
        <v>42</v>
      </c>
      <c r="W18" s="6" t="s">
        <v>86</v>
      </c>
    </row>
    <row r="19" spans="2:23" ht="18.75" x14ac:dyDescent="0.25">
      <c r="W19" s="6" t="s">
        <v>87</v>
      </c>
    </row>
    <row r="20" spans="2:23" ht="37.5" x14ac:dyDescent="0.25">
      <c r="W20" s="6" t="s">
        <v>88</v>
      </c>
    </row>
    <row r="21" spans="2:23" ht="18.75" x14ac:dyDescent="0.25">
      <c r="W21" s="3" t="s">
        <v>89</v>
      </c>
    </row>
    <row r="22" spans="2:23" ht="18.75" x14ac:dyDescent="0.25">
      <c r="C22" t="s">
        <v>1</v>
      </c>
      <c r="W22" s="6" t="s">
        <v>90</v>
      </c>
    </row>
    <row r="23" spans="2:23" ht="225" x14ac:dyDescent="0.25">
      <c r="E23" s="1" t="s">
        <v>2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7</v>
      </c>
      <c r="K23" s="1" t="s">
        <v>8</v>
      </c>
      <c r="L23" s="1" t="s">
        <v>9</v>
      </c>
      <c r="M23" s="1" t="s">
        <v>10</v>
      </c>
      <c r="N23" s="1" t="s">
        <v>11</v>
      </c>
    </row>
    <row r="25" spans="2:23" ht="18.75" x14ac:dyDescent="0.25"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2:23" ht="18.75" x14ac:dyDescent="0.25">
      <c r="E26" s="11">
        <v>1</v>
      </c>
      <c r="F26" s="11">
        <v>1</v>
      </c>
      <c r="G26" s="11">
        <v>3</v>
      </c>
      <c r="H26" s="11">
        <v>1</v>
      </c>
      <c r="I26" s="11">
        <v>4</v>
      </c>
      <c r="J26" s="11">
        <v>2</v>
      </c>
      <c r="K26" s="11">
        <v>2</v>
      </c>
      <c r="L26" s="11">
        <v>4</v>
      </c>
      <c r="M26" s="11">
        <v>2</v>
      </c>
      <c r="N26" s="11">
        <v>3</v>
      </c>
    </row>
    <row r="27" spans="2:23" ht="18.75" x14ac:dyDescent="0.25">
      <c r="E27" s="11">
        <v>5</v>
      </c>
      <c r="F27" s="11">
        <v>4</v>
      </c>
      <c r="G27" s="11">
        <v>16</v>
      </c>
      <c r="H27" s="11">
        <v>17</v>
      </c>
      <c r="I27" s="11">
        <v>12</v>
      </c>
      <c r="J27" s="11">
        <v>16</v>
      </c>
      <c r="K27" s="11">
        <v>15</v>
      </c>
      <c r="L27" s="11">
        <v>14</v>
      </c>
      <c r="M27" s="11">
        <v>11</v>
      </c>
      <c r="N27" s="11">
        <v>13</v>
      </c>
    </row>
    <row r="28" spans="2:23" ht="18.75" x14ac:dyDescent="0.25">
      <c r="E28" s="11">
        <v>46</v>
      </c>
      <c r="F28" s="11">
        <v>125</v>
      </c>
      <c r="G28" s="11">
        <v>44</v>
      </c>
      <c r="H28" s="11">
        <v>104</v>
      </c>
      <c r="I28" s="11">
        <v>53</v>
      </c>
      <c r="J28" s="11">
        <v>96</v>
      </c>
      <c r="K28" s="11">
        <v>47</v>
      </c>
      <c r="L28" s="11">
        <v>101</v>
      </c>
      <c r="M28" s="11">
        <v>67</v>
      </c>
      <c r="N28" s="11">
        <v>89</v>
      </c>
    </row>
    <row r="29" spans="2:23" ht="18.75" x14ac:dyDescent="0.25">
      <c r="E29" s="11">
        <v>112</v>
      </c>
      <c r="F29" s="11">
        <v>34</v>
      </c>
      <c r="G29" s="11">
        <v>101</v>
      </c>
      <c r="H29" s="11">
        <v>42</v>
      </c>
      <c r="I29" s="11">
        <v>95</v>
      </c>
      <c r="J29" s="11">
        <v>50</v>
      </c>
      <c r="K29" s="11">
        <v>100</v>
      </c>
      <c r="L29" s="11">
        <v>45</v>
      </c>
      <c r="M29" s="11">
        <v>84</v>
      </c>
      <c r="N29" s="11">
        <v>59</v>
      </c>
    </row>
    <row r="32" spans="2:23" x14ac:dyDescent="0.25">
      <c r="B32" t="s">
        <v>13</v>
      </c>
      <c r="E32" s="22" t="s">
        <v>14</v>
      </c>
      <c r="F32" s="22" t="s">
        <v>15</v>
      </c>
      <c r="G32" s="22" t="s">
        <v>16</v>
      </c>
      <c r="H32" s="22" t="s">
        <v>17</v>
      </c>
      <c r="I32" s="22" t="s">
        <v>18</v>
      </c>
      <c r="J32" s="22" t="s">
        <v>19</v>
      </c>
    </row>
    <row r="33" spans="5:10" x14ac:dyDescent="0.25">
      <c r="E33" s="23"/>
      <c r="F33" s="23"/>
      <c r="G33" s="23"/>
      <c r="H33" s="23"/>
      <c r="I33" s="23"/>
      <c r="J33" s="23"/>
    </row>
    <row r="34" spans="5:10" ht="18.75" x14ac:dyDescent="0.25">
      <c r="E34" s="12">
        <v>2</v>
      </c>
      <c r="F34" s="12">
        <v>2</v>
      </c>
      <c r="G34" s="12">
        <v>16</v>
      </c>
      <c r="H34" s="12">
        <v>14</v>
      </c>
      <c r="I34" s="12">
        <v>2</v>
      </c>
      <c r="J34" s="12">
        <v>1</v>
      </c>
    </row>
    <row r="35" spans="5:10" ht="18.75" x14ac:dyDescent="0.25">
      <c r="E35" s="12">
        <v>23</v>
      </c>
      <c r="F35" s="12">
        <v>26</v>
      </c>
      <c r="G35" s="12">
        <v>22</v>
      </c>
      <c r="H35" s="12">
        <v>26</v>
      </c>
      <c r="I35" s="12">
        <v>20</v>
      </c>
      <c r="J35" s="12">
        <v>16</v>
      </c>
    </row>
    <row r="36" spans="5:10" ht="18.75" x14ac:dyDescent="0.25">
      <c r="E36" s="12">
        <v>32</v>
      </c>
      <c r="F36" s="12">
        <v>40</v>
      </c>
      <c r="G36" s="12">
        <v>41</v>
      </c>
      <c r="H36" s="12">
        <v>43</v>
      </c>
      <c r="I36" s="12">
        <v>42</v>
      </c>
      <c r="J36" s="12">
        <v>45</v>
      </c>
    </row>
    <row r="37" spans="5:10" ht="18.75" x14ac:dyDescent="0.25">
      <c r="E37" s="12">
        <v>48</v>
      </c>
      <c r="F37" s="12">
        <v>51</v>
      </c>
      <c r="G37" s="12">
        <v>51</v>
      </c>
      <c r="H37" s="12">
        <v>40</v>
      </c>
      <c r="I37" s="12">
        <v>55</v>
      </c>
      <c r="J37" s="12">
        <v>48</v>
      </c>
    </row>
    <row r="38" spans="5:10" ht="18.75" x14ac:dyDescent="0.25">
      <c r="E38" s="12">
        <v>59</v>
      </c>
      <c r="F38" s="12">
        <v>46</v>
      </c>
      <c r="G38" s="12">
        <v>35</v>
      </c>
      <c r="H38" s="12">
        <v>42</v>
      </c>
      <c r="I38" s="12">
        <v>46</v>
      </c>
      <c r="J38" s="12">
        <v>55</v>
      </c>
    </row>
    <row r="46" spans="5:10" x14ac:dyDescent="0.25">
      <c r="E46">
        <f>SUM(E34:E38)</f>
        <v>164</v>
      </c>
    </row>
  </sheetData>
  <mergeCells count="11">
    <mergeCell ref="E13:E14"/>
    <mergeCell ref="F13:F14"/>
    <mergeCell ref="G13:G14"/>
    <mergeCell ref="H13:H14"/>
    <mergeCell ref="I13:I14"/>
    <mergeCell ref="J32:J33"/>
    <mergeCell ref="E32:E33"/>
    <mergeCell ref="F32:F33"/>
    <mergeCell ref="G32:G33"/>
    <mergeCell ref="H32:H33"/>
    <mergeCell ref="I32:I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0"/>
  <sheetViews>
    <sheetView tabSelected="1" topLeftCell="A16" workbookViewId="0">
      <selection activeCell="O40" sqref="O40"/>
    </sheetView>
  </sheetViews>
  <sheetFormatPr defaultRowHeight="15" x14ac:dyDescent="0.25"/>
  <cols>
    <col min="23" max="23" width="54.85546875" customWidth="1"/>
  </cols>
  <sheetData>
    <row r="2" spans="1:23" x14ac:dyDescent="0.25">
      <c r="A2" t="s">
        <v>33</v>
      </c>
    </row>
    <row r="3" spans="1:23" ht="27" customHeight="1" x14ac:dyDescent="0.25">
      <c r="W3" s="17" t="s">
        <v>91</v>
      </c>
    </row>
    <row r="4" spans="1:23" ht="18.75" x14ac:dyDescent="0.25">
      <c r="W4" s="17" t="s">
        <v>92</v>
      </c>
    </row>
    <row r="5" spans="1:23" ht="18.75" x14ac:dyDescent="0.25">
      <c r="W5" s="17" t="s">
        <v>40</v>
      </c>
    </row>
    <row r="6" spans="1:23" ht="18.75" x14ac:dyDescent="0.25">
      <c r="G6" s="22" t="s">
        <v>14</v>
      </c>
      <c r="H6" s="22" t="s">
        <v>15</v>
      </c>
      <c r="I6" s="22" t="s">
        <v>16</v>
      </c>
      <c r="J6" s="22" t="s">
        <v>17</v>
      </c>
      <c r="K6" s="22" t="s">
        <v>18</v>
      </c>
      <c r="L6" s="22" t="s">
        <v>19</v>
      </c>
      <c r="W6" s="17" t="s">
        <v>93</v>
      </c>
    </row>
    <row r="7" spans="1:23" ht="18.75" x14ac:dyDescent="0.25">
      <c r="G7" s="23"/>
      <c r="H7" s="23"/>
      <c r="I7" s="23"/>
      <c r="J7" s="23"/>
      <c r="K7" s="23"/>
      <c r="L7" s="23"/>
      <c r="W7" s="17" t="s">
        <v>94</v>
      </c>
    </row>
    <row r="8" spans="1:23" ht="18.75" x14ac:dyDescent="0.25">
      <c r="W8" s="17" t="s">
        <v>95</v>
      </c>
    </row>
    <row r="9" spans="1:23" ht="18.75" x14ac:dyDescent="0.25">
      <c r="D9" t="s">
        <v>13</v>
      </c>
      <c r="G9" s="13">
        <v>5</v>
      </c>
      <c r="H9" s="13">
        <v>8</v>
      </c>
      <c r="I9" s="13">
        <v>8</v>
      </c>
      <c r="J9" s="13">
        <v>9</v>
      </c>
      <c r="K9" s="13">
        <v>8</v>
      </c>
      <c r="W9" s="17" t="s">
        <v>96</v>
      </c>
    </row>
    <row r="10" spans="1:23" ht="18.75" x14ac:dyDescent="0.25">
      <c r="G10" s="13">
        <v>24</v>
      </c>
      <c r="H10" s="13">
        <v>29</v>
      </c>
      <c r="I10" s="13">
        <v>23</v>
      </c>
      <c r="J10" s="13">
        <v>30</v>
      </c>
      <c r="K10" s="13">
        <v>20</v>
      </c>
      <c r="W10" s="17" t="s">
        <v>97</v>
      </c>
    </row>
    <row r="11" spans="1:23" ht="18.75" x14ac:dyDescent="0.25">
      <c r="G11" s="13">
        <v>34</v>
      </c>
      <c r="H11" s="13">
        <v>43</v>
      </c>
      <c r="I11" s="13">
        <v>46</v>
      </c>
      <c r="J11" s="13">
        <v>45</v>
      </c>
      <c r="K11" s="13">
        <v>45</v>
      </c>
      <c r="W11" s="17" t="s">
        <v>98</v>
      </c>
    </row>
    <row r="12" spans="1:23" ht="18.75" x14ac:dyDescent="0.25">
      <c r="G12" s="13">
        <v>58</v>
      </c>
      <c r="H12" s="13">
        <v>60</v>
      </c>
      <c r="I12" s="13">
        <v>63</v>
      </c>
      <c r="J12" s="13">
        <v>52</v>
      </c>
      <c r="K12" s="13">
        <v>64</v>
      </c>
      <c r="W12" s="17" t="s">
        <v>99</v>
      </c>
    </row>
    <row r="13" spans="1:23" ht="18.75" x14ac:dyDescent="0.25">
      <c r="G13" s="13">
        <v>96</v>
      </c>
      <c r="H13" s="13">
        <v>80</v>
      </c>
      <c r="I13" s="13">
        <v>66</v>
      </c>
      <c r="J13" s="13">
        <v>72</v>
      </c>
      <c r="K13" s="13">
        <v>83</v>
      </c>
      <c r="W13" s="17" t="s">
        <v>100</v>
      </c>
    </row>
    <row r="14" spans="1:23" ht="18.75" x14ac:dyDescent="0.25">
      <c r="W14" s="17" t="s">
        <v>101</v>
      </c>
    </row>
    <row r="15" spans="1:23" ht="18.75" x14ac:dyDescent="0.25">
      <c r="C15" t="s">
        <v>34</v>
      </c>
      <c r="W15" s="17" t="s">
        <v>102</v>
      </c>
    </row>
    <row r="16" spans="1:23" ht="225" x14ac:dyDescent="0.25">
      <c r="G16" s="1" t="s">
        <v>2</v>
      </c>
      <c r="H16" s="1" t="s">
        <v>3</v>
      </c>
      <c r="I16" s="1" t="s">
        <v>4</v>
      </c>
      <c r="J16" s="1" t="s">
        <v>5</v>
      </c>
      <c r="K16" s="1" t="s">
        <v>6</v>
      </c>
      <c r="L16" s="1" t="s">
        <v>7</v>
      </c>
      <c r="M16" s="1" t="s">
        <v>8</v>
      </c>
      <c r="N16" s="1" t="s">
        <v>9</v>
      </c>
      <c r="O16" s="1" t="s">
        <v>10</v>
      </c>
      <c r="P16" s="1" t="s">
        <v>11</v>
      </c>
      <c r="W16" s="17" t="s">
        <v>103</v>
      </c>
    </row>
    <row r="17" spans="3:23" ht="18.75" x14ac:dyDescent="0.25">
      <c r="W17" s="17" t="s">
        <v>104</v>
      </c>
    </row>
    <row r="18" spans="3:23" ht="18.75" x14ac:dyDescent="0.25"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W18" s="17" t="s">
        <v>105</v>
      </c>
    </row>
    <row r="19" spans="3:23" ht="18.75" x14ac:dyDescent="0.25">
      <c r="G19" s="14">
        <v>1</v>
      </c>
      <c r="H19" s="14">
        <v>1</v>
      </c>
      <c r="I19" s="14">
        <v>3</v>
      </c>
      <c r="J19" s="14">
        <v>1</v>
      </c>
      <c r="K19" s="14">
        <v>5</v>
      </c>
      <c r="L19" s="14">
        <v>2</v>
      </c>
      <c r="M19" s="14">
        <v>2</v>
      </c>
      <c r="N19" s="14">
        <v>6</v>
      </c>
      <c r="O19" s="14">
        <v>2</v>
      </c>
      <c r="P19" s="14">
        <v>3</v>
      </c>
      <c r="W19" s="17" t="s">
        <v>106</v>
      </c>
    </row>
    <row r="20" spans="3:23" ht="18.75" x14ac:dyDescent="0.25">
      <c r="G20" s="14">
        <v>15</v>
      </c>
      <c r="H20" s="14">
        <v>15</v>
      </c>
      <c r="I20" s="14">
        <v>23</v>
      </c>
      <c r="J20" s="14">
        <v>29</v>
      </c>
      <c r="K20" s="14">
        <v>22</v>
      </c>
      <c r="L20" s="14">
        <v>26</v>
      </c>
      <c r="M20" s="14">
        <v>25</v>
      </c>
      <c r="N20" s="14">
        <v>23</v>
      </c>
      <c r="O20" s="14">
        <v>20</v>
      </c>
      <c r="P20" s="14">
        <v>21</v>
      </c>
      <c r="W20" s="17" t="s">
        <v>107</v>
      </c>
    </row>
    <row r="21" spans="3:23" ht="18.75" x14ac:dyDescent="0.25">
      <c r="G21" s="14">
        <v>51</v>
      </c>
      <c r="H21" s="14">
        <v>129</v>
      </c>
      <c r="I21" s="14">
        <v>52</v>
      </c>
      <c r="J21" s="14">
        <v>107</v>
      </c>
      <c r="K21" s="14">
        <v>57</v>
      </c>
      <c r="L21" s="14">
        <v>101</v>
      </c>
      <c r="M21" s="14">
        <v>52</v>
      </c>
      <c r="N21" s="14">
        <v>105</v>
      </c>
      <c r="O21" s="14">
        <v>73</v>
      </c>
      <c r="P21" s="14">
        <v>96</v>
      </c>
      <c r="W21" s="17" t="s">
        <v>108</v>
      </c>
    </row>
    <row r="22" spans="3:23" ht="18.75" x14ac:dyDescent="0.25">
      <c r="G22" s="14">
        <v>117</v>
      </c>
      <c r="H22" s="14">
        <v>39</v>
      </c>
      <c r="I22" s="14">
        <v>106</v>
      </c>
      <c r="J22" s="14">
        <v>47</v>
      </c>
      <c r="K22" s="14">
        <v>100</v>
      </c>
      <c r="L22" s="14">
        <v>55</v>
      </c>
      <c r="M22" s="14">
        <v>105</v>
      </c>
      <c r="N22" s="14">
        <v>50</v>
      </c>
      <c r="O22" s="14">
        <v>89</v>
      </c>
      <c r="P22" s="14">
        <v>64</v>
      </c>
      <c r="W22" s="17" t="s">
        <v>109</v>
      </c>
    </row>
    <row r="23" spans="3:23" ht="18.75" x14ac:dyDescent="0.25">
      <c r="W23" s="17" t="s">
        <v>110</v>
      </c>
    </row>
    <row r="24" spans="3:23" ht="18.75" x14ac:dyDescent="0.25">
      <c r="W24" s="17" t="s">
        <v>111</v>
      </c>
    </row>
    <row r="25" spans="3:23" ht="18.75" x14ac:dyDescent="0.25">
      <c r="W25" s="17" t="s">
        <v>112</v>
      </c>
    </row>
    <row r="26" spans="3:23" ht="18.75" x14ac:dyDescent="0.25">
      <c r="C26" t="s">
        <v>28</v>
      </c>
      <c r="G26" s="21" t="s">
        <v>22</v>
      </c>
      <c r="H26" s="21" t="s">
        <v>23</v>
      </c>
      <c r="I26" s="21" t="s">
        <v>24</v>
      </c>
      <c r="J26" s="21" t="s">
        <v>25</v>
      </c>
      <c r="K26" s="21" t="s">
        <v>26</v>
      </c>
      <c r="W26" s="17" t="s">
        <v>113</v>
      </c>
    </row>
    <row r="27" spans="3:23" ht="18.75" x14ac:dyDescent="0.25">
      <c r="G27" s="21"/>
      <c r="H27" s="21"/>
      <c r="I27" s="21"/>
      <c r="J27" s="21"/>
      <c r="K27" s="21"/>
      <c r="W27" s="17" t="s">
        <v>114</v>
      </c>
    </row>
    <row r="28" spans="3:23" ht="18.75" x14ac:dyDescent="0.25">
      <c r="G28" s="15">
        <v>5</v>
      </c>
      <c r="H28" s="15">
        <v>0</v>
      </c>
      <c r="I28" s="15">
        <v>2</v>
      </c>
      <c r="J28" s="15">
        <v>7</v>
      </c>
      <c r="K28" s="15">
        <v>4</v>
      </c>
      <c r="W28" s="17" t="s">
        <v>115</v>
      </c>
    </row>
    <row r="29" spans="3:23" ht="37.5" x14ac:dyDescent="0.25">
      <c r="G29" s="15">
        <v>10</v>
      </c>
      <c r="H29" s="15">
        <v>7</v>
      </c>
      <c r="I29" s="15">
        <v>10</v>
      </c>
      <c r="J29" s="15">
        <v>19</v>
      </c>
      <c r="K29" s="15">
        <v>23</v>
      </c>
      <c r="W29" s="17" t="s">
        <v>116</v>
      </c>
    </row>
    <row r="30" spans="3:23" ht="18.75" x14ac:dyDescent="0.25">
      <c r="G30" s="15">
        <v>47</v>
      </c>
      <c r="H30" s="15">
        <v>42</v>
      </c>
      <c r="I30" s="15">
        <v>46</v>
      </c>
      <c r="J30" s="15">
        <v>48</v>
      </c>
      <c r="K30" s="15">
        <v>51</v>
      </c>
      <c r="W30" s="17" t="s">
        <v>117</v>
      </c>
    </row>
    <row r="31" spans="3:23" ht="18.75" x14ac:dyDescent="0.25">
      <c r="G31" s="15">
        <v>77</v>
      </c>
      <c r="H31" s="15">
        <v>104</v>
      </c>
      <c r="I31" s="15">
        <v>72</v>
      </c>
      <c r="J31" s="15">
        <v>73</v>
      </c>
      <c r="K31" s="15">
        <v>70</v>
      </c>
      <c r="W31" s="17" t="s">
        <v>118</v>
      </c>
    </row>
    <row r="32" spans="3:23" ht="18.75" x14ac:dyDescent="0.25">
      <c r="G32" s="15">
        <v>81</v>
      </c>
      <c r="H32" s="15">
        <v>67</v>
      </c>
      <c r="I32" s="15">
        <v>90</v>
      </c>
      <c r="J32" s="15">
        <v>73</v>
      </c>
      <c r="K32" s="15">
        <v>72</v>
      </c>
      <c r="W32" s="17" t="s">
        <v>119</v>
      </c>
    </row>
    <row r="33" spans="7:23" ht="18.75" x14ac:dyDescent="0.25">
      <c r="W33" s="17" t="s">
        <v>120</v>
      </c>
    </row>
    <row r="34" spans="7:23" ht="18.75" x14ac:dyDescent="0.25">
      <c r="W34" s="17" t="s">
        <v>121</v>
      </c>
    </row>
    <row r="35" spans="7:23" ht="18.75" x14ac:dyDescent="0.25">
      <c r="W35" s="17" t="s">
        <v>122</v>
      </c>
    </row>
    <row r="36" spans="7:23" ht="18.75" x14ac:dyDescent="0.25">
      <c r="W36" s="17" t="s">
        <v>123</v>
      </c>
    </row>
    <row r="37" spans="7:23" ht="37.5" x14ac:dyDescent="0.25">
      <c r="W37" s="17" t="s">
        <v>124</v>
      </c>
    </row>
    <row r="38" spans="7:23" ht="18.75" x14ac:dyDescent="0.25">
      <c r="W38" s="24" t="s">
        <v>80</v>
      </c>
    </row>
    <row r="40" spans="7:23" x14ac:dyDescent="0.25">
      <c r="G40">
        <f>SUM(G28:G32)</f>
        <v>220</v>
      </c>
    </row>
  </sheetData>
  <mergeCells count="11">
    <mergeCell ref="L6:L7"/>
    <mergeCell ref="G6:G7"/>
    <mergeCell ref="H6:H7"/>
    <mergeCell ref="I6:I7"/>
    <mergeCell ref="J6:J7"/>
    <mergeCell ref="K6:K7"/>
    <mergeCell ref="G26:G27"/>
    <mergeCell ref="H26:H27"/>
    <mergeCell ref="I26:I27"/>
    <mergeCell ref="J26:J27"/>
    <mergeCell ref="K26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2026-01-08T08:08:54Z</dcterms:modified>
</cp:coreProperties>
</file>