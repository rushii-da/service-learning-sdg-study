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Sheet4" sheetId="4" r:id="rId2"/>
    <sheet name="Sheet5" sheetId="5" r:id="rId3"/>
    <sheet name="Sheet6" sheetId="6" r:id="rId4"/>
    <sheet name="Sheet7" sheetId="7" r:id="rId5"/>
    <sheet name="Sheet2" sheetId="2" r:id="rId6"/>
    <sheet name="Sheet3" sheetId="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3" l="1"/>
  <c r="G45" i="2"/>
  <c r="E30" i="7"/>
  <c r="D28" i="6"/>
  <c r="H33" i="5"/>
  <c r="G35" i="4"/>
  <c r="D33" i="1"/>
</calcChain>
</file>

<file path=xl/sharedStrings.xml><?xml version="1.0" encoding="utf-8"?>
<sst xmlns="http://schemas.openxmlformats.org/spreadsheetml/2006/main" count="260" uniqueCount="150">
  <si>
    <t xml:space="preserve">NGO By Student </t>
  </si>
  <si>
    <t xml:space="preserve">SIT </t>
  </si>
  <si>
    <t>Q.1 NGO  contact person was helpful</t>
  </si>
  <si>
    <t xml:space="preserve">Q.2 Adequate support and encourgement from NGO staff memebers </t>
  </si>
  <si>
    <t>Q.3 Received adquate orientation and trainning from NGO</t>
  </si>
  <si>
    <t xml:space="preserve">Q.4 Adquate onsite supervision  </t>
  </si>
  <si>
    <t xml:space="preserve">Q.5 Personally benifited </t>
  </si>
  <si>
    <t>Q.6. Recommended NGO</t>
  </si>
  <si>
    <t xml:space="preserve">STUDENT BY NGO </t>
  </si>
  <si>
    <t>Q1- prompt</t>
  </si>
  <si>
    <t>Q2-Cooperative</t>
  </si>
  <si>
    <t>Q3-Courteous</t>
  </si>
  <si>
    <t>Q4- took initiative</t>
  </si>
  <si>
    <t>Q5- Took responsibility</t>
  </si>
  <si>
    <t>Q6- positive attitude</t>
  </si>
  <si>
    <t>Q7- Dressed appropriatly</t>
  </si>
  <si>
    <t>Q8- Developed/exhibited analytical skills</t>
  </si>
  <si>
    <t>Q9- sesitive towards problem &amp; bring change in community</t>
  </si>
  <si>
    <t>Q10-Overall effective</t>
  </si>
  <si>
    <t xml:space="preserve">          </t>
  </si>
  <si>
    <t>PE</t>
  </si>
  <si>
    <t xml:space="preserve">Q. 1 Learn from project </t>
  </si>
  <si>
    <t xml:space="preserve">Q.2 Significant Contribution </t>
  </si>
  <si>
    <t xml:space="preserve">Q.3 Level of commitment </t>
  </si>
  <si>
    <t xml:space="preserve">Q.4 Utilize classrooms </t>
  </si>
  <si>
    <t xml:space="preserve">Q.5. Facility Service Learning </t>
  </si>
  <si>
    <t xml:space="preserve">BBA/ BCA </t>
  </si>
  <si>
    <t xml:space="preserve">NGO By student </t>
  </si>
  <si>
    <t xml:space="preserve">Student by NGO </t>
  </si>
  <si>
    <t xml:space="preserve">PE </t>
  </si>
  <si>
    <t>Name of the NGO</t>
  </si>
  <si>
    <t xml:space="preserve">SIHS </t>
  </si>
  <si>
    <t>NGO By student</t>
  </si>
  <si>
    <t xml:space="preserve">SID/ BA </t>
  </si>
  <si>
    <t xml:space="preserve">Student By NGO </t>
  </si>
  <si>
    <t xml:space="preserve">Nursing </t>
  </si>
  <si>
    <t xml:space="preserve">NGO BY student </t>
  </si>
  <si>
    <t xml:space="preserve">SSLA/ B Arch/ B Design </t>
  </si>
  <si>
    <t xml:space="preserve">NGO by student </t>
  </si>
  <si>
    <t xml:space="preserve">         
ASHNI Foundation 
</t>
  </si>
  <si>
    <t>I Gift Life</t>
  </si>
  <si>
    <t>Khushiyaan foundation</t>
  </si>
  <si>
    <t>Eco Roots Foundation</t>
  </si>
  <si>
    <t>DNS Foundation, Ranchi</t>
  </si>
  <si>
    <t>Digantah Saksham Foundation</t>
  </si>
  <si>
    <t>Jan Suchna Evm Manvadhikar Mission</t>
  </si>
  <si>
    <t>LEUKEMIA CRUSADERS</t>
  </si>
  <si>
    <t xml:space="preserve">Sumitra Devi Mahila Mandel. 
</t>
  </si>
  <si>
    <t>Sneh Foundation</t>
  </si>
  <si>
    <t xml:space="preserve">kshamta foundation </t>
  </si>
  <si>
    <t xml:space="preserve">Navjyoti India Foundation </t>
  </si>
  <si>
    <t xml:space="preserve">         
ASHNI Foundation </t>
  </si>
  <si>
    <t xml:space="preserve">Pimpri Medical Relief &amp; Research Foundation(NGO/TRUST)     </t>
  </si>
  <si>
    <t>The Midway Journey,Aasam</t>
  </si>
  <si>
    <t>JCI KAMRUP ESTEEM</t>
  </si>
  <si>
    <t xml:space="preserve">Supermind Foundation </t>
  </si>
  <si>
    <t>Being volunteer foundation</t>
  </si>
  <si>
    <t>Let's Do It India</t>
  </si>
  <si>
    <t xml:space="preserve">Wildlife Research &amp; Conservation Society </t>
  </si>
  <si>
    <t>Rotaract Club Of Jodhpur</t>
  </si>
  <si>
    <t xml:space="preserve">Swayam Shikshan Prayog                                                  </t>
  </si>
  <si>
    <t>Rural Development Society</t>
  </si>
  <si>
    <t xml:space="preserve">Sparsh Balgram  </t>
  </si>
  <si>
    <t xml:space="preserve">Geolifeyouthclub </t>
  </si>
  <si>
    <t>Central Church Compound, College Road, Post Box No. 2,</t>
  </si>
  <si>
    <t>Bal Kalyan Sanstha</t>
  </si>
  <si>
    <t xml:space="preserve">Spread Happiness Foundation     </t>
  </si>
  <si>
    <t>Idea Foundation</t>
  </si>
  <si>
    <t>Make new life Hijevadi</t>
  </si>
  <si>
    <t>LIONS CLUB MEERUT</t>
  </si>
  <si>
    <t xml:space="preserve">JeevitNadi </t>
  </si>
  <si>
    <t>Ahilya Shikshan Sanstha</t>
  </si>
  <si>
    <t>Careship</t>
  </si>
  <si>
    <t>Mother Foundation NGO</t>
  </si>
  <si>
    <t>Second Innings House</t>
  </si>
  <si>
    <t>Bharati Sanskar Kendra</t>
  </si>
  <si>
    <t>Muskan Foundation</t>
  </si>
  <si>
    <t>The Akanksha Foundation</t>
  </si>
  <si>
    <t>Doorstep School</t>
  </si>
  <si>
    <t>Children's Future India</t>
  </si>
  <si>
    <t>SCOPE  (Digital Literacy)</t>
  </si>
  <si>
    <t>Sevadeep NGO</t>
  </si>
  <si>
    <t>Moinee foundation</t>
  </si>
  <si>
    <t>Navkshitij</t>
  </si>
  <si>
    <t>Deep</t>
  </si>
  <si>
    <t>eCoexist</t>
  </si>
  <si>
    <t>Sarvahitey</t>
  </si>
  <si>
    <t>Seva Sahyog Foundation</t>
  </si>
  <si>
    <t>RESQ</t>
  </si>
  <si>
    <t>Government Survey - Dengue Malaria</t>
  </si>
  <si>
    <t>ISKCON foundation</t>
  </si>
  <si>
    <t>Aadhar samajik sanstha</t>
  </si>
  <si>
    <t>Mahatma Phule Apang Prashikshan Kendra</t>
  </si>
  <si>
    <t>The society for door step school</t>
  </si>
  <si>
    <t>Make New Life</t>
  </si>
  <si>
    <t>Learning Link foundation</t>
  </si>
  <si>
    <t>Adar Poonawala Clean City Initiative</t>
  </si>
  <si>
    <t>Radhabai Hardikar Pranjal Mangal Sanstha</t>
  </si>
  <si>
    <t>Jharkhand Government (tool room)</t>
  </si>
  <si>
    <t>Dattakrup Farms</t>
  </si>
  <si>
    <t>Rotary Club-Katraj, Pune</t>
  </si>
  <si>
    <t>Dattakrupa Farms</t>
  </si>
  <si>
    <t>A Ray of Hope</t>
  </si>
  <si>
    <t>Mauli Seva Sagh</t>
  </si>
  <si>
    <t>Vishnuroop Foundation</t>
  </si>
  <si>
    <t>Radhabai Hardikar Pranijat Mangal Sanstha</t>
  </si>
  <si>
    <t>Operant Pharmacy Federation</t>
  </si>
  <si>
    <t>ISKCON</t>
  </si>
  <si>
    <t>KahimaLearning</t>
  </si>
  <si>
    <t>Taare Zameen Foundation</t>
  </si>
  <si>
    <t>Janhit Sansthan</t>
  </si>
  <si>
    <t>Shreshtha Bharat Foundation</t>
  </si>
  <si>
    <t>Tanisha Foundation</t>
  </si>
  <si>
    <t>Aspirant learning</t>
  </si>
  <si>
    <t>Rotract club</t>
  </si>
  <si>
    <t>Hamari Pahchan</t>
  </si>
  <si>
    <t>Aashman Foundation</t>
  </si>
  <si>
    <t>Janwani</t>
  </si>
  <si>
    <t>Adar Poonawalla Clean City</t>
  </si>
  <si>
    <t>Global Cool Green City Foundation</t>
  </si>
  <si>
    <t>ExploreiT</t>
  </si>
  <si>
    <t>Bhujal Abhiyan Trust</t>
  </si>
  <si>
    <t>Poornam Ecovision</t>
  </si>
  <si>
    <t>Climate Reality Project, India</t>
  </si>
  <si>
    <t>Being volunteer</t>
  </si>
  <si>
    <t>Sarthiee Foundation</t>
  </si>
  <si>
    <t>CASP India</t>
  </si>
  <si>
    <t>SHB Social foundation</t>
  </si>
  <si>
    <t>SHB  Social Foundation</t>
  </si>
  <si>
    <t>Samavedana</t>
  </si>
  <si>
    <t>Sunshine Child development Center</t>
  </si>
  <si>
    <t>Mamta Aandh anath kalyan Kendra</t>
  </si>
  <si>
    <t>Sanjivani NGO</t>
  </si>
  <si>
    <t>SHB foundation</t>
  </si>
  <si>
    <t>Ray of Hope</t>
  </si>
  <si>
    <t>Poornam Ecovision Foundation</t>
  </si>
  <si>
    <t>Etasha Society</t>
  </si>
  <si>
    <t>Neuvoprerana</t>
  </si>
  <si>
    <t>Youthaid Foundation</t>
  </si>
  <si>
    <t>Sevasahyog foundation</t>
  </si>
  <si>
    <t>Ashni Foundation</t>
  </si>
  <si>
    <t>Exploreit</t>
  </si>
  <si>
    <t>Igiftlife</t>
  </si>
  <si>
    <t>Jeevitanadi</t>
  </si>
  <si>
    <t xml:space="preserve">Sadhna Village </t>
  </si>
  <si>
    <t>SCOPE</t>
  </si>
  <si>
    <t xml:space="preserve">Aditya Prangan </t>
  </si>
  <si>
    <t>Sewa Bharti</t>
  </si>
  <si>
    <t>WarriorsWithoutCause</t>
  </si>
  <si>
    <t>Robinhood Army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</si>
</sst>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202124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89"/>
  <sheetViews>
    <sheetView topLeftCell="A61" workbookViewId="0">
      <selection activeCell="W89" sqref="W89"/>
    </sheetView>
  </sheetViews>
  <sheetFormatPr defaultRowHeight="15" x14ac:dyDescent="0.25"/>
  <cols>
    <col min="23" max="23" width="59.140625" customWidth="1"/>
  </cols>
  <sheetData>
    <row r="2" spans="1:23" x14ac:dyDescent="0.25">
      <c r="A2" t="s">
        <v>1</v>
      </c>
    </row>
    <row r="3" spans="1:23" s="1" customFormat="1" x14ac:dyDescent="0.25">
      <c r="B3" s="1" t="s">
        <v>0</v>
      </c>
    </row>
    <row r="4" spans="1:23" ht="78.75" x14ac:dyDescent="0.25">
      <c r="W4" s="9" t="s">
        <v>39</v>
      </c>
    </row>
    <row r="5" spans="1:23" ht="15.75" x14ac:dyDescent="0.25"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W5" s="9" t="s">
        <v>40</v>
      </c>
    </row>
    <row r="6" spans="1:23" ht="15.75" x14ac:dyDescent="0.25">
      <c r="D6" s="7"/>
      <c r="E6" s="7"/>
      <c r="F6" s="7"/>
      <c r="G6" s="7"/>
      <c r="H6" s="7"/>
      <c r="I6" s="7"/>
      <c r="W6" s="9" t="s">
        <v>40</v>
      </c>
    </row>
    <row r="7" spans="1:23" ht="15.75" x14ac:dyDescent="0.25">
      <c r="C7">
        <v>1</v>
      </c>
      <c r="D7" s="2">
        <v>11</v>
      </c>
      <c r="E7" s="2">
        <v>7</v>
      </c>
      <c r="F7" s="2">
        <v>7</v>
      </c>
      <c r="G7" s="2">
        <v>5</v>
      </c>
      <c r="H7" s="2">
        <v>9</v>
      </c>
      <c r="I7" s="2">
        <v>10</v>
      </c>
      <c r="W7" s="9" t="s">
        <v>41</v>
      </c>
    </row>
    <row r="8" spans="1:23" ht="15.75" x14ac:dyDescent="0.25">
      <c r="C8">
        <v>2</v>
      </c>
      <c r="D8" s="2">
        <v>12</v>
      </c>
      <c r="E8" s="2">
        <v>19</v>
      </c>
      <c r="F8" s="2">
        <v>16</v>
      </c>
      <c r="G8" s="2">
        <v>34</v>
      </c>
      <c r="H8" s="2">
        <v>29</v>
      </c>
      <c r="I8" s="2">
        <v>15</v>
      </c>
      <c r="W8" s="9" t="s">
        <v>42</v>
      </c>
    </row>
    <row r="9" spans="1:23" ht="15.75" x14ac:dyDescent="0.25">
      <c r="C9">
        <v>3</v>
      </c>
      <c r="D9" s="2">
        <v>20</v>
      </c>
      <c r="E9" s="2">
        <v>25</v>
      </c>
      <c r="F9" s="2">
        <v>41</v>
      </c>
      <c r="G9" s="2">
        <v>20</v>
      </c>
      <c r="H9" s="2">
        <v>23</v>
      </c>
      <c r="I9" s="2">
        <v>27</v>
      </c>
      <c r="W9" s="9" t="s">
        <v>43</v>
      </c>
    </row>
    <row r="10" spans="1:23" ht="15.75" x14ac:dyDescent="0.25">
      <c r="C10">
        <v>4</v>
      </c>
      <c r="D10" s="2">
        <v>72</v>
      </c>
      <c r="E10" s="2">
        <v>106</v>
      </c>
      <c r="F10" s="2">
        <v>152</v>
      </c>
      <c r="G10" s="2">
        <v>157</v>
      </c>
      <c r="H10" s="2">
        <v>86</v>
      </c>
      <c r="I10" s="2">
        <v>87</v>
      </c>
      <c r="W10" s="9" t="s">
        <v>44</v>
      </c>
    </row>
    <row r="11" spans="1:23" ht="15.75" x14ac:dyDescent="0.25">
      <c r="C11">
        <v>5</v>
      </c>
      <c r="D11" s="2">
        <v>487</v>
      </c>
      <c r="E11" s="2">
        <v>445</v>
      </c>
      <c r="F11" s="2">
        <v>387</v>
      </c>
      <c r="G11" s="2">
        <v>387</v>
      </c>
      <c r="H11" s="2">
        <v>457</v>
      </c>
      <c r="I11" s="2">
        <v>463</v>
      </c>
      <c r="W11" s="9" t="s">
        <v>45</v>
      </c>
    </row>
    <row r="12" spans="1:23" ht="15.75" x14ac:dyDescent="0.25">
      <c r="W12" s="9" t="s">
        <v>46</v>
      </c>
    </row>
    <row r="13" spans="1:23" ht="141.75" x14ac:dyDescent="0.25">
      <c r="B13" t="s">
        <v>8</v>
      </c>
      <c r="D13" s="3" t="s">
        <v>9</v>
      </c>
      <c r="E13" s="3" t="s">
        <v>10</v>
      </c>
      <c r="F13" s="3" t="s">
        <v>11</v>
      </c>
      <c r="G13" s="3" t="s">
        <v>12</v>
      </c>
      <c r="H13" s="3" t="s">
        <v>13</v>
      </c>
      <c r="I13" s="3" t="s">
        <v>14</v>
      </c>
      <c r="J13" s="3" t="s">
        <v>15</v>
      </c>
      <c r="K13" s="3" t="s">
        <v>16</v>
      </c>
      <c r="L13" s="3" t="s">
        <v>17</v>
      </c>
      <c r="M13" s="3" t="s">
        <v>18</v>
      </c>
      <c r="W13" s="9" t="s">
        <v>43</v>
      </c>
    </row>
    <row r="14" spans="1:23" ht="15.75" x14ac:dyDescent="0.25">
      <c r="D14" t="s">
        <v>19</v>
      </c>
      <c r="W14" s="9" t="s">
        <v>44</v>
      </c>
    </row>
    <row r="15" spans="1:23" ht="31.5" x14ac:dyDescent="0.25">
      <c r="C15">
        <v>1</v>
      </c>
      <c r="D15" s="4">
        <v>12</v>
      </c>
      <c r="E15" s="4">
        <v>12</v>
      </c>
      <c r="F15" s="4">
        <v>13</v>
      </c>
      <c r="G15" s="4">
        <v>12</v>
      </c>
      <c r="H15" s="4">
        <v>12</v>
      </c>
      <c r="I15" s="4">
        <v>13</v>
      </c>
      <c r="J15" s="4">
        <v>15</v>
      </c>
      <c r="K15" s="4">
        <v>12</v>
      </c>
      <c r="L15" s="4">
        <v>12</v>
      </c>
      <c r="M15" s="4">
        <v>12</v>
      </c>
      <c r="W15" s="9" t="s">
        <v>47</v>
      </c>
    </row>
    <row r="16" spans="1:23" ht="15.75" x14ac:dyDescent="0.25">
      <c r="C16">
        <v>2</v>
      </c>
      <c r="D16" s="4">
        <v>10</v>
      </c>
      <c r="E16" s="4">
        <v>11</v>
      </c>
      <c r="F16" s="4">
        <v>10</v>
      </c>
      <c r="G16" s="4">
        <v>10</v>
      </c>
      <c r="H16" s="4">
        <v>11</v>
      </c>
      <c r="I16" s="4">
        <v>10</v>
      </c>
      <c r="J16" s="4">
        <v>11</v>
      </c>
      <c r="K16" s="4">
        <v>11</v>
      </c>
      <c r="L16" s="4">
        <v>12</v>
      </c>
      <c r="M16" s="4">
        <v>12</v>
      </c>
      <c r="W16" s="9" t="s">
        <v>45</v>
      </c>
    </row>
    <row r="17" spans="2:23" ht="15.75" x14ac:dyDescent="0.25">
      <c r="C17">
        <v>3</v>
      </c>
      <c r="D17" s="4">
        <v>34</v>
      </c>
      <c r="E17" s="4">
        <v>37</v>
      </c>
      <c r="F17" s="4">
        <v>29</v>
      </c>
      <c r="G17" s="4">
        <v>37</v>
      </c>
      <c r="H17" s="4">
        <v>38</v>
      </c>
      <c r="I17" s="4">
        <v>31</v>
      </c>
      <c r="J17" s="4">
        <v>33</v>
      </c>
      <c r="K17" s="4">
        <v>37</v>
      </c>
      <c r="L17" s="4">
        <v>42</v>
      </c>
      <c r="M17" s="4">
        <v>37</v>
      </c>
      <c r="W17" s="9" t="s">
        <v>48</v>
      </c>
    </row>
    <row r="18" spans="2:23" ht="15.75" x14ac:dyDescent="0.25">
      <c r="C18">
        <v>4</v>
      </c>
      <c r="D18" s="4">
        <v>140</v>
      </c>
      <c r="E18" s="4">
        <v>120</v>
      </c>
      <c r="F18" s="4">
        <v>125</v>
      </c>
      <c r="G18" s="4">
        <v>127</v>
      </c>
      <c r="H18" s="4">
        <v>134</v>
      </c>
      <c r="I18" s="4">
        <v>139</v>
      </c>
      <c r="J18" s="4">
        <v>105</v>
      </c>
      <c r="K18" s="4">
        <v>135</v>
      </c>
      <c r="L18" s="4">
        <v>145</v>
      </c>
      <c r="M18" s="4">
        <v>109</v>
      </c>
      <c r="W18" s="9" t="s">
        <v>49</v>
      </c>
    </row>
    <row r="19" spans="2:23" ht="15.75" x14ac:dyDescent="0.25">
      <c r="C19">
        <v>5</v>
      </c>
      <c r="D19" s="4">
        <v>412</v>
      </c>
      <c r="E19" s="4">
        <v>428</v>
      </c>
      <c r="F19" s="4">
        <v>431</v>
      </c>
      <c r="G19" s="4">
        <v>422</v>
      </c>
      <c r="H19" s="4">
        <v>413</v>
      </c>
      <c r="I19" s="4">
        <v>415</v>
      </c>
      <c r="J19" s="4">
        <v>444</v>
      </c>
      <c r="K19" s="4">
        <v>413</v>
      </c>
      <c r="L19" s="4">
        <v>397</v>
      </c>
      <c r="M19" s="4">
        <v>438</v>
      </c>
      <c r="W19" s="9" t="s">
        <v>45</v>
      </c>
    </row>
    <row r="20" spans="2:23" ht="15.75" x14ac:dyDescent="0.25">
      <c r="W20" s="9" t="s">
        <v>50</v>
      </c>
    </row>
    <row r="21" spans="2:23" ht="31.5" x14ac:dyDescent="0.25">
      <c r="W21" s="9" t="s">
        <v>51</v>
      </c>
    </row>
    <row r="22" spans="2:23" ht="15.75" x14ac:dyDescent="0.25">
      <c r="B22" t="s">
        <v>20</v>
      </c>
      <c r="D22" s="8" t="s">
        <v>21</v>
      </c>
      <c r="E22" s="8" t="s">
        <v>22</v>
      </c>
      <c r="F22" s="8" t="s">
        <v>23</v>
      </c>
      <c r="G22" s="8" t="s">
        <v>24</v>
      </c>
      <c r="H22" s="8" t="s">
        <v>25</v>
      </c>
      <c r="W22" s="9" t="s">
        <v>44</v>
      </c>
    </row>
    <row r="23" spans="2:23" ht="15.75" x14ac:dyDescent="0.25">
      <c r="D23" s="8"/>
      <c r="E23" s="8"/>
      <c r="F23" s="8"/>
      <c r="G23" s="8"/>
      <c r="H23" s="8"/>
      <c r="W23" s="10" t="s">
        <v>52</v>
      </c>
    </row>
    <row r="24" spans="2:23" ht="15.75" x14ac:dyDescent="0.25">
      <c r="D24" s="2">
        <v>2</v>
      </c>
      <c r="E24" s="2">
        <v>3</v>
      </c>
      <c r="F24" s="2">
        <v>3</v>
      </c>
      <c r="G24" s="2">
        <v>18</v>
      </c>
      <c r="H24" s="2">
        <v>3</v>
      </c>
      <c r="W24" s="11" t="s">
        <v>53</v>
      </c>
    </row>
    <row r="25" spans="2:23" ht="15.75" x14ac:dyDescent="0.25">
      <c r="D25" s="2">
        <v>6</v>
      </c>
      <c r="E25" s="2">
        <v>4</v>
      </c>
      <c r="F25" s="2">
        <v>1</v>
      </c>
      <c r="G25" s="2">
        <v>8</v>
      </c>
      <c r="H25" s="2">
        <v>1</v>
      </c>
      <c r="W25" s="10" t="s">
        <v>54</v>
      </c>
    </row>
    <row r="26" spans="2:23" ht="15.75" x14ac:dyDescent="0.25">
      <c r="D26" s="2">
        <v>10</v>
      </c>
      <c r="E26" s="2">
        <v>28</v>
      </c>
      <c r="F26" s="2">
        <v>21</v>
      </c>
      <c r="G26" s="2">
        <v>47</v>
      </c>
      <c r="H26" s="2">
        <v>31</v>
      </c>
      <c r="W26" s="10" t="s">
        <v>55</v>
      </c>
    </row>
    <row r="27" spans="2:23" ht="15.75" x14ac:dyDescent="0.25">
      <c r="W27" s="11" t="s">
        <v>56</v>
      </c>
    </row>
    <row r="28" spans="2:23" ht="15.75" x14ac:dyDescent="0.25">
      <c r="W28" s="12" t="s">
        <v>57</v>
      </c>
    </row>
    <row r="29" spans="2:23" ht="15.75" x14ac:dyDescent="0.25">
      <c r="W29" s="11" t="s">
        <v>58</v>
      </c>
    </row>
    <row r="30" spans="2:23" ht="15.75" x14ac:dyDescent="0.25">
      <c r="W30" s="11" t="s">
        <v>59</v>
      </c>
    </row>
    <row r="31" spans="2:23" ht="15.75" x14ac:dyDescent="0.25">
      <c r="W31" s="11" t="s">
        <v>53</v>
      </c>
    </row>
    <row r="32" spans="2:23" ht="15.75" x14ac:dyDescent="0.25">
      <c r="W32" s="10" t="s">
        <v>60</v>
      </c>
    </row>
    <row r="33" spans="4:23" ht="15.75" x14ac:dyDescent="0.25">
      <c r="D33">
        <f>SUM(D15:D19)</f>
        <v>608</v>
      </c>
      <c r="W33" s="11" t="s">
        <v>61</v>
      </c>
    </row>
    <row r="34" spans="4:23" ht="15.75" x14ac:dyDescent="0.25">
      <c r="W34" s="10" t="s">
        <v>55</v>
      </c>
    </row>
    <row r="35" spans="4:23" ht="15.75" x14ac:dyDescent="0.25">
      <c r="W35" s="11" t="s">
        <v>62</v>
      </c>
    </row>
    <row r="36" spans="4:23" ht="15.75" x14ac:dyDescent="0.25">
      <c r="W36" s="10" t="s">
        <v>63</v>
      </c>
    </row>
    <row r="37" spans="4:23" ht="15.75" x14ac:dyDescent="0.25">
      <c r="W37" s="10" t="s">
        <v>64</v>
      </c>
    </row>
    <row r="38" spans="4:23" ht="15.75" x14ac:dyDescent="0.25">
      <c r="W38" s="11" t="s">
        <v>65</v>
      </c>
    </row>
    <row r="39" spans="4:23" ht="15.75" x14ac:dyDescent="0.25">
      <c r="W39" s="13" t="s">
        <v>66</v>
      </c>
    </row>
    <row r="40" spans="4:23" ht="15.75" x14ac:dyDescent="0.25">
      <c r="W40" s="13" t="s">
        <v>67</v>
      </c>
    </row>
    <row r="41" spans="4:23" ht="15.75" x14ac:dyDescent="0.25">
      <c r="W41" s="13" t="s">
        <v>68</v>
      </c>
    </row>
    <row r="42" spans="4:23" ht="15.75" x14ac:dyDescent="0.25">
      <c r="W42" s="13" t="s">
        <v>69</v>
      </c>
    </row>
    <row r="43" spans="4:23" ht="15.75" x14ac:dyDescent="0.25">
      <c r="W43" s="13" t="s">
        <v>70</v>
      </c>
    </row>
    <row r="44" spans="4:23" ht="15.75" x14ac:dyDescent="0.25">
      <c r="W44" s="13" t="s">
        <v>71</v>
      </c>
    </row>
    <row r="45" spans="4:23" ht="15.75" x14ac:dyDescent="0.25">
      <c r="W45" s="13" t="s">
        <v>72</v>
      </c>
    </row>
    <row r="46" spans="4:23" ht="15.75" x14ac:dyDescent="0.25">
      <c r="W46" s="13" t="s">
        <v>66</v>
      </c>
    </row>
    <row r="47" spans="4:23" ht="15.75" x14ac:dyDescent="0.25">
      <c r="W47" s="13" t="s">
        <v>73</v>
      </c>
    </row>
    <row r="48" spans="4:23" ht="15.75" x14ac:dyDescent="0.25">
      <c r="W48" s="13" t="s">
        <v>70</v>
      </c>
    </row>
    <row r="49" spans="23:23" ht="15.75" x14ac:dyDescent="0.25">
      <c r="W49" s="13" t="s">
        <v>74</v>
      </c>
    </row>
    <row r="50" spans="23:23" ht="15.75" x14ac:dyDescent="0.25">
      <c r="W50" s="13" t="s">
        <v>72</v>
      </c>
    </row>
    <row r="51" spans="23:23" ht="15.75" x14ac:dyDescent="0.25">
      <c r="W51" s="13" t="s">
        <v>75</v>
      </c>
    </row>
    <row r="52" spans="23:23" ht="15.75" x14ac:dyDescent="0.25">
      <c r="W52" s="13" t="s">
        <v>68</v>
      </c>
    </row>
    <row r="53" spans="23:23" ht="15.75" x14ac:dyDescent="0.25">
      <c r="W53" s="13" t="s">
        <v>73</v>
      </c>
    </row>
    <row r="54" spans="23:23" ht="15.75" x14ac:dyDescent="0.25">
      <c r="W54" s="13" t="s">
        <v>76</v>
      </c>
    </row>
    <row r="55" spans="23:23" ht="15.75" x14ac:dyDescent="0.25">
      <c r="W55" s="13" t="s">
        <v>77</v>
      </c>
    </row>
    <row r="56" spans="23:23" ht="15.75" x14ac:dyDescent="0.25">
      <c r="W56" s="13" t="s">
        <v>78</v>
      </c>
    </row>
    <row r="57" spans="23:23" ht="15.75" x14ac:dyDescent="0.25">
      <c r="W57" s="13" t="s">
        <v>79</v>
      </c>
    </row>
    <row r="58" spans="23:23" ht="15.75" x14ac:dyDescent="0.25">
      <c r="W58" s="13" t="s">
        <v>71</v>
      </c>
    </row>
    <row r="59" spans="23:23" ht="15.75" x14ac:dyDescent="0.25">
      <c r="W59" s="13" t="s">
        <v>74</v>
      </c>
    </row>
    <row r="60" spans="23:23" ht="15.75" x14ac:dyDescent="0.25">
      <c r="W60" s="14" t="s">
        <v>80</v>
      </c>
    </row>
    <row r="61" spans="23:23" ht="15.75" x14ac:dyDescent="0.25">
      <c r="W61" s="15" t="s">
        <v>81</v>
      </c>
    </row>
    <row r="62" spans="23:23" ht="15.75" x14ac:dyDescent="0.25">
      <c r="W62" s="15" t="s">
        <v>82</v>
      </c>
    </row>
    <row r="63" spans="23:23" ht="15.75" x14ac:dyDescent="0.25">
      <c r="W63" s="16" t="s">
        <v>83</v>
      </c>
    </row>
    <row r="64" spans="23:23" ht="15.75" x14ac:dyDescent="0.25">
      <c r="W64" s="17" t="s">
        <v>84</v>
      </c>
    </row>
    <row r="65" spans="23:23" ht="15.75" x14ac:dyDescent="0.25">
      <c r="W65" s="16" t="s">
        <v>85</v>
      </c>
    </row>
    <row r="66" spans="23:23" ht="15.75" x14ac:dyDescent="0.25">
      <c r="W66" s="16" t="s">
        <v>86</v>
      </c>
    </row>
    <row r="67" spans="23:23" ht="15.75" x14ac:dyDescent="0.25">
      <c r="W67" s="16" t="s">
        <v>86</v>
      </c>
    </row>
    <row r="68" spans="23:23" ht="15.75" x14ac:dyDescent="0.25">
      <c r="W68" s="16" t="s">
        <v>87</v>
      </c>
    </row>
    <row r="69" spans="23:23" ht="15.75" x14ac:dyDescent="0.25">
      <c r="W69" s="9" t="s">
        <v>40</v>
      </c>
    </row>
    <row r="70" spans="23:23" ht="15.75" x14ac:dyDescent="0.25">
      <c r="W70" s="10" t="s">
        <v>88</v>
      </c>
    </row>
    <row r="71" spans="23:23" ht="15.75" x14ac:dyDescent="0.25">
      <c r="W71" s="10" t="s">
        <v>89</v>
      </c>
    </row>
    <row r="72" spans="23:23" ht="15.75" x14ac:dyDescent="0.25">
      <c r="W72" s="10" t="s">
        <v>90</v>
      </c>
    </row>
    <row r="73" spans="23:23" ht="15.75" x14ac:dyDescent="0.25">
      <c r="W73" s="10" t="s">
        <v>91</v>
      </c>
    </row>
    <row r="74" spans="23:23" ht="15.75" x14ac:dyDescent="0.25">
      <c r="W74" s="16" t="s">
        <v>92</v>
      </c>
    </row>
    <row r="75" spans="23:23" ht="15.75" x14ac:dyDescent="0.25">
      <c r="W75" s="16" t="s">
        <v>93</v>
      </c>
    </row>
    <row r="76" spans="23:23" ht="15.75" x14ac:dyDescent="0.25">
      <c r="W76" s="16" t="s">
        <v>94</v>
      </c>
    </row>
    <row r="77" spans="23:23" ht="15.75" x14ac:dyDescent="0.25">
      <c r="W77" s="16" t="s">
        <v>95</v>
      </c>
    </row>
    <row r="78" spans="23:23" x14ac:dyDescent="0.25">
      <c r="W78" s="18" t="s">
        <v>96</v>
      </c>
    </row>
    <row r="79" spans="23:23" x14ac:dyDescent="0.25">
      <c r="W79" s="18" t="s">
        <v>97</v>
      </c>
    </row>
    <row r="80" spans="23:23" x14ac:dyDescent="0.25">
      <c r="W80" s="18" t="s">
        <v>98</v>
      </c>
    </row>
    <row r="81" spans="23:23" x14ac:dyDescent="0.25">
      <c r="W81" s="18" t="s">
        <v>99</v>
      </c>
    </row>
    <row r="82" spans="23:23" x14ac:dyDescent="0.25">
      <c r="W82" s="18" t="s">
        <v>100</v>
      </c>
    </row>
    <row r="83" spans="23:23" x14ac:dyDescent="0.25">
      <c r="W83" s="18" t="s">
        <v>101</v>
      </c>
    </row>
    <row r="84" spans="23:23" x14ac:dyDescent="0.25">
      <c r="W84" s="18" t="s">
        <v>102</v>
      </c>
    </row>
    <row r="85" spans="23:23" x14ac:dyDescent="0.25">
      <c r="W85" s="18" t="s">
        <v>96</v>
      </c>
    </row>
    <row r="86" spans="23:23" x14ac:dyDescent="0.25">
      <c r="W86" s="18" t="s">
        <v>103</v>
      </c>
    </row>
    <row r="87" spans="23:23" x14ac:dyDescent="0.25">
      <c r="W87" s="18" t="s">
        <v>104</v>
      </c>
    </row>
    <row r="88" spans="23:23" x14ac:dyDescent="0.25">
      <c r="W88" s="18" t="s">
        <v>101</v>
      </c>
    </row>
    <row r="89" spans="23:23" x14ac:dyDescent="0.25">
      <c r="W89" s="19" t="s">
        <v>105</v>
      </c>
    </row>
  </sheetData>
  <mergeCells count="11">
    <mergeCell ref="D22:D23"/>
    <mergeCell ref="E22:E23"/>
    <mergeCell ref="F22:F23"/>
    <mergeCell ref="G22:G23"/>
    <mergeCell ref="H22:H23"/>
    <mergeCell ref="I5:I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topLeftCell="A7" workbookViewId="0">
      <selection activeCell="T16" sqref="T16:T18"/>
    </sheetView>
  </sheetViews>
  <sheetFormatPr defaultRowHeight="15" x14ac:dyDescent="0.25"/>
  <cols>
    <col min="20" max="20" width="54.7109375" customWidth="1"/>
  </cols>
  <sheetData>
    <row r="1" spans="1:20" ht="31.5" x14ac:dyDescent="0.25">
      <c r="T1" s="16" t="s">
        <v>134</v>
      </c>
    </row>
    <row r="2" spans="1:20" ht="60" x14ac:dyDescent="0.25">
      <c r="A2" t="s">
        <v>33</v>
      </c>
      <c r="T2" s="18" t="s">
        <v>135</v>
      </c>
    </row>
    <row r="3" spans="1:20" ht="30" x14ac:dyDescent="0.25">
      <c r="T3" s="18" t="s">
        <v>136</v>
      </c>
    </row>
    <row r="4" spans="1:20" x14ac:dyDescent="0.25">
      <c r="T4" s="18" t="s">
        <v>107</v>
      </c>
    </row>
    <row r="5" spans="1:20" ht="30" x14ac:dyDescent="0.25">
      <c r="E5" t="s">
        <v>27</v>
      </c>
      <c r="H5" s="6" t="s">
        <v>2</v>
      </c>
      <c r="I5" s="6" t="s">
        <v>3</v>
      </c>
      <c r="J5" s="6" t="s">
        <v>4</v>
      </c>
      <c r="K5" s="6" t="s">
        <v>5</v>
      </c>
      <c r="L5" s="6" t="s">
        <v>6</v>
      </c>
      <c r="M5" s="6" t="s">
        <v>7</v>
      </c>
      <c r="T5" s="18" t="s">
        <v>137</v>
      </c>
    </row>
    <row r="6" spans="1:20" ht="45" x14ac:dyDescent="0.25">
      <c r="H6" s="7"/>
      <c r="I6" s="7"/>
      <c r="J6" s="7"/>
      <c r="K6" s="7"/>
      <c r="L6" s="7"/>
      <c r="M6" s="7"/>
      <c r="T6" s="18" t="s">
        <v>138</v>
      </c>
    </row>
    <row r="7" spans="1:20" ht="60" x14ac:dyDescent="0.25">
      <c r="G7">
        <v>1</v>
      </c>
      <c r="H7">
        <v>0</v>
      </c>
      <c r="I7">
        <v>1</v>
      </c>
      <c r="J7">
        <v>1</v>
      </c>
      <c r="K7">
        <v>6</v>
      </c>
      <c r="L7">
        <v>7</v>
      </c>
      <c r="M7">
        <v>1</v>
      </c>
      <c r="T7" s="18" t="s">
        <v>139</v>
      </c>
    </row>
    <row r="8" spans="1:20" ht="45" x14ac:dyDescent="0.25">
      <c r="G8">
        <v>2</v>
      </c>
      <c r="H8">
        <v>9</v>
      </c>
      <c r="I8">
        <v>18</v>
      </c>
      <c r="J8">
        <v>26</v>
      </c>
      <c r="K8">
        <v>15</v>
      </c>
      <c r="L8">
        <v>17</v>
      </c>
      <c r="M8">
        <v>5</v>
      </c>
      <c r="T8" s="18" t="s">
        <v>140</v>
      </c>
    </row>
    <row r="9" spans="1:20" x14ac:dyDescent="0.25">
      <c r="G9">
        <v>3</v>
      </c>
      <c r="H9">
        <v>37</v>
      </c>
      <c r="I9">
        <v>40</v>
      </c>
      <c r="J9">
        <v>50</v>
      </c>
      <c r="K9">
        <v>65</v>
      </c>
      <c r="L9">
        <v>37</v>
      </c>
      <c r="M9">
        <v>33</v>
      </c>
      <c r="T9" s="18" t="s">
        <v>141</v>
      </c>
    </row>
    <row r="10" spans="1:20" x14ac:dyDescent="0.25">
      <c r="G10">
        <v>4</v>
      </c>
      <c r="H10">
        <v>54</v>
      </c>
      <c r="I10">
        <v>41</v>
      </c>
      <c r="J10">
        <v>58</v>
      </c>
      <c r="K10">
        <v>52</v>
      </c>
      <c r="L10">
        <v>54</v>
      </c>
      <c r="M10">
        <v>50</v>
      </c>
      <c r="T10" s="18" t="s">
        <v>107</v>
      </c>
    </row>
    <row r="11" spans="1:20" x14ac:dyDescent="0.25">
      <c r="G11">
        <v>5</v>
      </c>
      <c r="H11">
        <v>93</v>
      </c>
      <c r="I11">
        <v>93</v>
      </c>
      <c r="J11">
        <v>58</v>
      </c>
      <c r="K11">
        <v>55</v>
      </c>
      <c r="L11">
        <v>78</v>
      </c>
      <c r="M11">
        <v>104</v>
      </c>
      <c r="T11" s="18" t="s">
        <v>142</v>
      </c>
    </row>
    <row r="12" spans="1:20" ht="15.75" x14ac:dyDescent="0.25">
      <c r="T12" s="16" t="s">
        <v>143</v>
      </c>
    </row>
    <row r="13" spans="1:20" ht="15.75" x14ac:dyDescent="0.25">
      <c r="T13" s="16" t="s">
        <v>144</v>
      </c>
    </row>
    <row r="14" spans="1:20" ht="141.75" x14ac:dyDescent="0.25">
      <c r="G14" s="3" t="s">
        <v>9</v>
      </c>
      <c r="H14" s="3" t="s">
        <v>10</v>
      </c>
      <c r="I14" s="3" t="s">
        <v>11</v>
      </c>
      <c r="J14" s="3" t="s">
        <v>12</v>
      </c>
      <c r="K14" s="3" t="s">
        <v>13</v>
      </c>
      <c r="L14" s="3" t="s">
        <v>14</v>
      </c>
      <c r="M14" s="3" t="s">
        <v>15</v>
      </c>
      <c r="N14" s="3" t="s">
        <v>16</v>
      </c>
      <c r="O14" s="3" t="s">
        <v>17</v>
      </c>
      <c r="P14" s="3" t="s">
        <v>18</v>
      </c>
      <c r="T14" s="16" t="s">
        <v>145</v>
      </c>
    </row>
    <row r="15" spans="1:20" ht="15.75" x14ac:dyDescent="0.25">
      <c r="T15" s="16" t="s">
        <v>146</v>
      </c>
    </row>
    <row r="16" spans="1:20" x14ac:dyDescent="0.25">
      <c r="T16" s="19" t="s">
        <v>147</v>
      </c>
    </row>
    <row r="17" spans="3:20" x14ac:dyDescent="0.25">
      <c r="C17" t="s">
        <v>34</v>
      </c>
      <c r="G17">
        <v>3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3</v>
      </c>
      <c r="O17">
        <v>4</v>
      </c>
      <c r="P17">
        <v>2</v>
      </c>
      <c r="T17" s="19" t="s">
        <v>148</v>
      </c>
    </row>
    <row r="18" spans="3:20" x14ac:dyDescent="0.25">
      <c r="G18">
        <v>8</v>
      </c>
      <c r="H18">
        <v>9</v>
      </c>
      <c r="I18">
        <v>12</v>
      </c>
      <c r="J18">
        <v>17</v>
      </c>
      <c r="K18">
        <v>20</v>
      </c>
      <c r="L18">
        <v>19</v>
      </c>
      <c r="M18">
        <v>18</v>
      </c>
      <c r="N18">
        <v>17</v>
      </c>
      <c r="O18">
        <v>16</v>
      </c>
      <c r="P18">
        <v>15</v>
      </c>
      <c r="T18" s="19" t="s">
        <v>149</v>
      </c>
    </row>
    <row r="19" spans="3:20" x14ac:dyDescent="0.25">
      <c r="G19">
        <v>30</v>
      </c>
      <c r="H19">
        <v>34</v>
      </c>
      <c r="I19">
        <v>46</v>
      </c>
      <c r="J19">
        <v>52</v>
      </c>
      <c r="K19">
        <v>41</v>
      </c>
      <c r="L19">
        <v>31</v>
      </c>
      <c r="M19">
        <v>32</v>
      </c>
      <c r="N19">
        <v>49</v>
      </c>
      <c r="O19">
        <v>35</v>
      </c>
      <c r="P19">
        <v>31</v>
      </c>
    </row>
    <row r="20" spans="3:20" x14ac:dyDescent="0.25">
      <c r="G20">
        <v>79</v>
      </c>
      <c r="H20">
        <v>102</v>
      </c>
      <c r="I20">
        <v>81</v>
      </c>
      <c r="J20">
        <v>67</v>
      </c>
      <c r="K20">
        <v>80</v>
      </c>
      <c r="L20">
        <v>88</v>
      </c>
      <c r="M20">
        <v>59</v>
      </c>
      <c r="N20">
        <v>76</v>
      </c>
      <c r="O20">
        <v>82</v>
      </c>
      <c r="P20">
        <v>94</v>
      </c>
    </row>
    <row r="21" spans="3:20" x14ac:dyDescent="0.25">
      <c r="G21">
        <v>73</v>
      </c>
      <c r="H21">
        <v>46</v>
      </c>
      <c r="I21">
        <v>52</v>
      </c>
      <c r="J21">
        <v>55</v>
      </c>
      <c r="K21">
        <v>50</v>
      </c>
      <c r="L21">
        <v>53</v>
      </c>
      <c r="M21">
        <v>82</v>
      </c>
      <c r="N21">
        <v>48</v>
      </c>
      <c r="O21">
        <v>56</v>
      </c>
      <c r="P21">
        <v>51</v>
      </c>
    </row>
    <row r="25" spans="3:20" x14ac:dyDescent="0.25">
      <c r="G25" s="8" t="s">
        <v>21</v>
      </c>
      <c r="H25" s="8" t="s">
        <v>22</v>
      </c>
      <c r="I25" s="8" t="s">
        <v>23</v>
      </c>
      <c r="J25" s="8" t="s">
        <v>24</v>
      </c>
      <c r="K25" s="8" t="s">
        <v>25</v>
      </c>
    </row>
    <row r="26" spans="3:20" x14ac:dyDescent="0.25">
      <c r="G26" s="8"/>
      <c r="H26" s="8"/>
      <c r="I26" s="8"/>
      <c r="J26" s="8"/>
      <c r="K26" s="8"/>
    </row>
    <row r="27" spans="3:20" x14ac:dyDescent="0.25">
      <c r="C27" t="s">
        <v>29</v>
      </c>
      <c r="G27">
        <v>1</v>
      </c>
      <c r="H27">
        <v>0</v>
      </c>
      <c r="I27">
        <v>0</v>
      </c>
      <c r="J27">
        <v>3</v>
      </c>
      <c r="K27">
        <v>0</v>
      </c>
    </row>
    <row r="28" spans="3:20" x14ac:dyDescent="0.25">
      <c r="G28">
        <v>7</v>
      </c>
      <c r="H28">
        <v>8</v>
      </c>
      <c r="I28">
        <v>13</v>
      </c>
      <c r="J28">
        <v>12</v>
      </c>
      <c r="K28">
        <v>7</v>
      </c>
    </row>
    <row r="29" spans="3:20" x14ac:dyDescent="0.25">
      <c r="G29">
        <v>32</v>
      </c>
      <c r="H29">
        <v>50</v>
      </c>
      <c r="I29">
        <v>37</v>
      </c>
      <c r="J29">
        <v>38</v>
      </c>
      <c r="K29">
        <v>50</v>
      </c>
    </row>
    <row r="30" spans="3:20" x14ac:dyDescent="0.25">
      <c r="G30">
        <v>74</v>
      </c>
      <c r="H30">
        <v>80</v>
      </c>
      <c r="I30">
        <v>86</v>
      </c>
      <c r="J30">
        <v>58</v>
      </c>
      <c r="K30">
        <v>82</v>
      </c>
    </row>
    <row r="31" spans="3:20" x14ac:dyDescent="0.25">
      <c r="G31">
        <v>80</v>
      </c>
      <c r="H31">
        <v>56</v>
      </c>
      <c r="I31">
        <v>58</v>
      </c>
      <c r="J31">
        <v>83</v>
      </c>
      <c r="K31">
        <v>55</v>
      </c>
    </row>
    <row r="35" spans="7:7" x14ac:dyDescent="0.25">
      <c r="G35">
        <f>SUM(G27:G31)</f>
        <v>194</v>
      </c>
    </row>
  </sheetData>
  <mergeCells count="11">
    <mergeCell ref="M5:M6"/>
    <mergeCell ref="G25:G26"/>
    <mergeCell ref="H25:H26"/>
    <mergeCell ref="I25:I26"/>
    <mergeCell ref="J25:J26"/>
    <mergeCell ref="K25:K26"/>
    <mergeCell ref="H5:H6"/>
    <mergeCell ref="I5:I6"/>
    <mergeCell ref="J5:J6"/>
    <mergeCell ref="K5:K6"/>
    <mergeCell ref="L5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K33" sqref="K33"/>
    </sheetView>
  </sheetViews>
  <sheetFormatPr defaultRowHeight="15" x14ac:dyDescent="0.25"/>
  <sheetData>
    <row r="1" spans="1:17" x14ac:dyDescent="0.25">
      <c r="A1" t="s">
        <v>35</v>
      </c>
    </row>
    <row r="3" spans="1:17" x14ac:dyDescent="0.25">
      <c r="C3" t="s">
        <v>28</v>
      </c>
    </row>
    <row r="5" spans="1:17" x14ac:dyDescent="0.25"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H7">
        <v>9</v>
      </c>
      <c r="I7">
        <v>15</v>
      </c>
      <c r="J7">
        <v>15</v>
      </c>
      <c r="K7">
        <v>11</v>
      </c>
      <c r="L7">
        <v>13</v>
      </c>
      <c r="M7">
        <v>14</v>
      </c>
      <c r="N7">
        <v>8</v>
      </c>
      <c r="O7">
        <v>12</v>
      </c>
      <c r="P7">
        <v>12</v>
      </c>
      <c r="Q7">
        <v>9</v>
      </c>
    </row>
    <row r="8" spans="1:17" x14ac:dyDescent="0.25">
      <c r="H8">
        <v>32</v>
      </c>
      <c r="I8">
        <v>26</v>
      </c>
      <c r="J8">
        <v>31</v>
      </c>
      <c r="K8">
        <v>29</v>
      </c>
      <c r="L8">
        <v>29</v>
      </c>
      <c r="M8">
        <v>31</v>
      </c>
      <c r="N8">
        <v>33</v>
      </c>
      <c r="O8">
        <v>29</v>
      </c>
      <c r="P8">
        <v>33</v>
      </c>
      <c r="Q8">
        <v>34</v>
      </c>
    </row>
    <row r="9" spans="1:17" x14ac:dyDescent="0.25">
      <c r="H9">
        <v>36</v>
      </c>
      <c r="I9">
        <v>35</v>
      </c>
      <c r="J9">
        <v>31</v>
      </c>
      <c r="K9">
        <v>37</v>
      </c>
      <c r="L9">
        <v>35</v>
      </c>
      <c r="M9">
        <v>32</v>
      </c>
      <c r="N9">
        <v>36</v>
      </c>
      <c r="O9">
        <v>36</v>
      </c>
      <c r="P9">
        <v>32</v>
      </c>
      <c r="Q9">
        <v>34</v>
      </c>
    </row>
    <row r="13" spans="1:17" x14ac:dyDescent="0.25">
      <c r="C13" t="s">
        <v>36</v>
      </c>
    </row>
    <row r="15" spans="1:17" x14ac:dyDescent="0.25"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7" x14ac:dyDescent="0.25"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</row>
    <row r="17" spans="3:13" x14ac:dyDescent="0.25"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3:13" x14ac:dyDescent="0.25">
      <c r="H18">
        <v>50</v>
      </c>
      <c r="I18">
        <v>66</v>
      </c>
      <c r="J18">
        <v>58</v>
      </c>
      <c r="K18">
        <v>60</v>
      </c>
      <c r="L18">
        <v>52</v>
      </c>
      <c r="M18">
        <v>65</v>
      </c>
    </row>
    <row r="19" spans="3:13" x14ac:dyDescent="0.25">
      <c r="H19">
        <v>26</v>
      </c>
      <c r="I19">
        <v>11</v>
      </c>
      <c r="J19">
        <v>19</v>
      </c>
      <c r="K19">
        <v>17</v>
      </c>
      <c r="L19">
        <v>25</v>
      </c>
      <c r="M19">
        <v>11</v>
      </c>
    </row>
    <row r="23" spans="3:13" x14ac:dyDescent="0.25">
      <c r="C23" t="s">
        <v>29</v>
      </c>
    </row>
    <row r="24" spans="3:13" x14ac:dyDescent="0.25">
      <c r="H24">
        <v>0</v>
      </c>
      <c r="I24">
        <v>0</v>
      </c>
      <c r="J24">
        <v>0</v>
      </c>
      <c r="K24">
        <v>0</v>
      </c>
      <c r="L24">
        <v>0</v>
      </c>
    </row>
    <row r="25" spans="3:13" x14ac:dyDescent="0.25">
      <c r="H25">
        <v>0</v>
      </c>
      <c r="I25">
        <v>1</v>
      </c>
      <c r="J25">
        <v>0</v>
      </c>
      <c r="K25">
        <v>0</v>
      </c>
      <c r="L25">
        <v>0</v>
      </c>
    </row>
    <row r="26" spans="3:13" x14ac:dyDescent="0.25">
      <c r="H26">
        <v>1</v>
      </c>
      <c r="I26">
        <v>0</v>
      </c>
      <c r="J26">
        <v>0</v>
      </c>
      <c r="K26">
        <v>1</v>
      </c>
      <c r="L26">
        <v>1</v>
      </c>
    </row>
    <row r="27" spans="3:13" x14ac:dyDescent="0.25">
      <c r="H27">
        <v>4</v>
      </c>
      <c r="I27">
        <v>3</v>
      </c>
      <c r="J27">
        <v>5</v>
      </c>
      <c r="K27">
        <v>4</v>
      </c>
      <c r="L27">
        <v>2</v>
      </c>
    </row>
    <row r="28" spans="3:13" x14ac:dyDescent="0.25">
      <c r="H28">
        <v>72</v>
      </c>
      <c r="I28">
        <v>73</v>
      </c>
      <c r="J28">
        <v>72</v>
      </c>
      <c r="K28">
        <v>72</v>
      </c>
      <c r="L28">
        <v>74</v>
      </c>
    </row>
    <row r="33" spans="8:8" x14ac:dyDescent="0.25">
      <c r="H33">
        <f>SUM(H24:H28)</f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workbookViewId="0">
      <selection activeCell="D29" sqref="D29"/>
    </sheetView>
  </sheetViews>
  <sheetFormatPr defaultRowHeight="15" x14ac:dyDescent="0.25"/>
  <sheetData>
    <row r="2" spans="1:13" x14ac:dyDescent="0.25">
      <c r="A2" t="s">
        <v>37</v>
      </c>
      <c r="D2">
        <v>0</v>
      </c>
      <c r="E2">
        <v>0</v>
      </c>
      <c r="F2">
        <v>1</v>
      </c>
      <c r="G2">
        <v>2</v>
      </c>
      <c r="H2">
        <v>6</v>
      </c>
      <c r="I2">
        <v>1</v>
      </c>
    </row>
    <row r="3" spans="1:13" x14ac:dyDescent="0.25">
      <c r="A3" t="s">
        <v>27</v>
      </c>
      <c r="D3">
        <v>0</v>
      </c>
      <c r="E3">
        <v>0</v>
      </c>
      <c r="F3">
        <v>7</v>
      </c>
      <c r="G3">
        <v>4</v>
      </c>
      <c r="H3">
        <v>2</v>
      </c>
      <c r="I3">
        <v>2</v>
      </c>
    </row>
    <row r="4" spans="1:13" x14ac:dyDescent="0.25">
      <c r="D4">
        <v>8</v>
      </c>
      <c r="E4">
        <v>11</v>
      </c>
      <c r="F4">
        <v>27</v>
      </c>
      <c r="G4">
        <v>28</v>
      </c>
      <c r="H4">
        <v>11</v>
      </c>
      <c r="I4">
        <v>20</v>
      </c>
    </row>
    <row r="5" spans="1:13" x14ac:dyDescent="0.25">
      <c r="D5">
        <v>50</v>
      </c>
      <c r="E5">
        <v>65</v>
      </c>
      <c r="F5">
        <v>58</v>
      </c>
      <c r="G5">
        <v>59</v>
      </c>
      <c r="H5">
        <v>55</v>
      </c>
      <c r="I5">
        <v>41</v>
      </c>
    </row>
    <row r="6" spans="1:13" x14ac:dyDescent="0.25">
      <c r="D6">
        <v>89</v>
      </c>
      <c r="E6">
        <v>70</v>
      </c>
      <c r="F6">
        <v>53</v>
      </c>
      <c r="G6">
        <v>50</v>
      </c>
      <c r="H6">
        <v>78</v>
      </c>
      <c r="I6">
        <v>84</v>
      </c>
    </row>
    <row r="12" spans="1:13" x14ac:dyDescent="0.25">
      <c r="A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D14">
        <v>3</v>
      </c>
      <c r="E14">
        <v>3</v>
      </c>
      <c r="F14">
        <v>7</v>
      </c>
      <c r="G14">
        <v>4</v>
      </c>
      <c r="H14">
        <v>4</v>
      </c>
      <c r="I14">
        <v>4</v>
      </c>
      <c r="J14">
        <v>4</v>
      </c>
      <c r="K14">
        <v>3</v>
      </c>
      <c r="L14">
        <v>3</v>
      </c>
      <c r="M14">
        <v>2</v>
      </c>
    </row>
    <row r="15" spans="1:13" x14ac:dyDescent="0.25">
      <c r="D15">
        <v>35</v>
      </c>
      <c r="E15">
        <v>35</v>
      </c>
      <c r="F15">
        <v>29</v>
      </c>
      <c r="G15">
        <v>35</v>
      </c>
      <c r="H15">
        <v>28</v>
      </c>
      <c r="I15">
        <v>29</v>
      </c>
      <c r="J15">
        <v>36</v>
      </c>
      <c r="K15">
        <v>36</v>
      </c>
      <c r="L15">
        <v>32</v>
      </c>
      <c r="M15">
        <v>40</v>
      </c>
    </row>
    <row r="16" spans="1:13" x14ac:dyDescent="0.25">
      <c r="D16">
        <v>13</v>
      </c>
      <c r="E16">
        <v>13</v>
      </c>
      <c r="F16">
        <v>15</v>
      </c>
      <c r="G16">
        <v>12</v>
      </c>
      <c r="H16">
        <v>19</v>
      </c>
      <c r="I16">
        <v>18</v>
      </c>
      <c r="J16">
        <v>11</v>
      </c>
      <c r="K16">
        <v>12</v>
      </c>
      <c r="L16">
        <v>16</v>
      </c>
      <c r="M16">
        <v>9</v>
      </c>
    </row>
    <row r="20" spans="1:9" x14ac:dyDescent="0.25">
      <c r="A20" t="s">
        <v>29</v>
      </c>
    </row>
    <row r="21" spans="1:9" x14ac:dyDescent="0.25">
      <c r="D21">
        <v>0</v>
      </c>
      <c r="E21">
        <v>1</v>
      </c>
      <c r="F21">
        <v>2</v>
      </c>
      <c r="G21">
        <v>6</v>
      </c>
      <c r="H21">
        <v>1</v>
      </c>
      <c r="I21">
        <v>0</v>
      </c>
    </row>
    <row r="22" spans="1:9" x14ac:dyDescent="0.25">
      <c r="D22">
        <v>0</v>
      </c>
      <c r="E22">
        <v>0</v>
      </c>
      <c r="F22">
        <v>7</v>
      </c>
      <c r="G22">
        <v>4</v>
      </c>
      <c r="H22">
        <v>2</v>
      </c>
      <c r="I22">
        <v>2</v>
      </c>
    </row>
    <row r="23" spans="1:9" x14ac:dyDescent="0.25">
      <c r="D23">
        <v>8</v>
      </c>
      <c r="E23">
        <v>11</v>
      </c>
      <c r="F23">
        <v>27</v>
      </c>
      <c r="G23">
        <v>28</v>
      </c>
      <c r="H23">
        <v>11</v>
      </c>
      <c r="I23">
        <v>20</v>
      </c>
    </row>
    <row r="24" spans="1:9" x14ac:dyDescent="0.25">
      <c r="D24">
        <v>50</v>
      </c>
      <c r="E24">
        <v>65</v>
      </c>
      <c r="F24">
        <v>58</v>
      </c>
      <c r="G24">
        <v>59</v>
      </c>
      <c r="H24">
        <v>55</v>
      </c>
      <c r="I24">
        <v>41</v>
      </c>
    </row>
    <row r="25" spans="1:9" x14ac:dyDescent="0.25">
      <c r="D25">
        <v>89</v>
      </c>
      <c r="E25">
        <v>70</v>
      </c>
      <c r="F25">
        <v>53</v>
      </c>
      <c r="G25">
        <v>50</v>
      </c>
      <c r="H25">
        <v>78</v>
      </c>
      <c r="I25">
        <v>84</v>
      </c>
    </row>
    <row r="28" spans="1:9" x14ac:dyDescent="0.25">
      <c r="D28">
        <f>SUM(D21:D25)</f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0"/>
  <sheetViews>
    <sheetView topLeftCell="A10" workbookViewId="0">
      <selection activeCell="E31" sqref="E31"/>
    </sheetView>
  </sheetViews>
  <sheetFormatPr defaultRowHeight="15" x14ac:dyDescent="0.25"/>
  <sheetData>
    <row r="3" spans="1:14" x14ac:dyDescent="0.25">
      <c r="A3" s="1" t="s">
        <v>38</v>
      </c>
      <c r="B3" s="1"/>
    </row>
    <row r="4" spans="1:14" x14ac:dyDescent="0.25">
      <c r="E4">
        <v>0</v>
      </c>
      <c r="F4">
        <v>0</v>
      </c>
      <c r="G4">
        <v>0</v>
      </c>
      <c r="H4">
        <v>1</v>
      </c>
      <c r="I4">
        <v>1</v>
      </c>
      <c r="J4">
        <v>2</v>
      </c>
    </row>
    <row r="5" spans="1:14" x14ac:dyDescent="0.25">
      <c r="E5">
        <v>1</v>
      </c>
      <c r="F5">
        <v>2</v>
      </c>
      <c r="G5">
        <v>4</v>
      </c>
      <c r="H5">
        <v>6</v>
      </c>
      <c r="I5">
        <v>3</v>
      </c>
      <c r="J5">
        <v>2</v>
      </c>
    </row>
    <row r="6" spans="1:14" x14ac:dyDescent="0.25">
      <c r="E6">
        <v>10</v>
      </c>
      <c r="F6">
        <v>17</v>
      </c>
      <c r="G6">
        <v>25</v>
      </c>
      <c r="H6">
        <v>22</v>
      </c>
      <c r="I6">
        <v>12</v>
      </c>
      <c r="J6">
        <v>16</v>
      </c>
    </row>
    <row r="7" spans="1:14" x14ac:dyDescent="0.25">
      <c r="E7">
        <v>65</v>
      </c>
      <c r="F7">
        <v>185</v>
      </c>
      <c r="G7">
        <v>77</v>
      </c>
      <c r="H7">
        <v>82</v>
      </c>
      <c r="I7">
        <v>72</v>
      </c>
      <c r="J7">
        <v>73</v>
      </c>
    </row>
    <row r="8" spans="1:14" x14ac:dyDescent="0.25">
      <c r="E8">
        <v>237</v>
      </c>
      <c r="F8">
        <v>109</v>
      </c>
      <c r="G8">
        <v>207</v>
      </c>
      <c r="H8">
        <v>202</v>
      </c>
      <c r="I8">
        <v>225</v>
      </c>
      <c r="J8">
        <v>220</v>
      </c>
    </row>
    <row r="13" spans="1:14" x14ac:dyDescent="0.25">
      <c r="A13" s="1" t="s">
        <v>28</v>
      </c>
      <c r="B13" s="1"/>
      <c r="E13">
        <v>7</v>
      </c>
      <c r="F13">
        <v>7</v>
      </c>
      <c r="G13">
        <v>1</v>
      </c>
      <c r="H13">
        <v>1</v>
      </c>
      <c r="I13">
        <v>2</v>
      </c>
      <c r="J13">
        <v>3</v>
      </c>
      <c r="K13">
        <v>6</v>
      </c>
      <c r="L13">
        <v>37</v>
      </c>
      <c r="M13">
        <v>79</v>
      </c>
      <c r="N13">
        <v>143</v>
      </c>
    </row>
    <row r="14" spans="1:14" x14ac:dyDescent="0.25"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2</v>
      </c>
      <c r="L14">
        <v>75</v>
      </c>
      <c r="M14">
        <v>166</v>
      </c>
      <c r="N14">
        <v>121</v>
      </c>
    </row>
    <row r="15" spans="1:14" x14ac:dyDescent="0.25">
      <c r="E15">
        <v>0</v>
      </c>
      <c r="F15">
        <v>0</v>
      </c>
      <c r="G15">
        <v>5</v>
      </c>
      <c r="H15">
        <v>1</v>
      </c>
      <c r="I15">
        <v>0</v>
      </c>
      <c r="J15">
        <v>1</v>
      </c>
      <c r="K15">
        <v>1</v>
      </c>
      <c r="L15">
        <v>10</v>
      </c>
      <c r="M15">
        <v>9</v>
      </c>
      <c r="N15">
        <v>38</v>
      </c>
    </row>
    <row r="16" spans="1:14" x14ac:dyDescent="0.25">
      <c r="E16">
        <v>0</v>
      </c>
      <c r="F16">
        <v>1</v>
      </c>
      <c r="G16">
        <v>2</v>
      </c>
      <c r="H16">
        <v>0</v>
      </c>
      <c r="I16">
        <v>0</v>
      </c>
      <c r="J16">
        <v>0</v>
      </c>
      <c r="K16">
        <v>1</v>
      </c>
      <c r="L16">
        <v>10</v>
      </c>
      <c r="M16">
        <v>1</v>
      </c>
      <c r="N16">
        <v>5</v>
      </c>
    </row>
    <row r="17" spans="1:14" x14ac:dyDescent="0.25">
      <c r="E17">
        <v>310</v>
      </c>
      <c r="F17">
        <v>309</v>
      </c>
      <c r="G17">
        <v>310</v>
      </c>
      <c r="H17">
        <v>316</v>
      </c>
      <c r="I17">
        <v>316</v>
      </c>
      <c r="J17">
        <v>314</v>
      </c>
      <c r="K17">
        <v>308</v>
      </c>
      <c r="L17">
        <v>186</v>
      </c>
      <c r="M17">
        <v>63</v>
      </c>
      <c r="N17">
        <v>11</v>
      </c>
    </row>
    <row r="21" spans="1:14" x14ac:dyDescent="0.25">
      <c r="A21" s="1" t="s">
        <v>29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14" x14ac:dyDescent="0.25">
      <c r="E22">
        <v>1</v>
      </c>
      <c r="F22">
        <v>1</v>
      </c>
      <c r="G22">
        <v>0</v>
      </c>
      <c r="H22">
        <v>5</v>
      </c>
      <c r="I22">
        <v>1</v>
      </c>
    </row>
    <row r="23" spans="1:14" x14ac:dyDescent="0.25">
      <c r="E23">
        <v>11</v>
      </c>
      <c r="F23">
        <v>11</v>
      </c>
      <c r="G23">
        <v>18</v>
      </c>
      <c r="H23">
        <v>44</v>
      </c>
      <c r="I23">
        <v>19</v>
      </c>
    </row>
    <row r="24" spans="1:14" x14ac:dyDescent="0.25">
      <c r="E24">
        <v>56</v>
      </c>
      <c r="F24">
        <v>87</v>
      </c>
      <c r="G24">
        <v>79</v>
      </c>
      <c r="H24">
        <v>103</v>
      </c>
      <c r="I24">
        <v>184</v>
      </c>
    </row>
    <row r="25" spans="1:14" x14ac:dyDescent="0.25">
      <c r="E25">
        <v>248</v>
      </c>
      <c r="F25">
        <v>217</v>
      </c>
      <c r="G25">
        <v>219</v>
      </c>
      <c r="H25">
        <v>164</v>
      </c>
      <c r="I25">
        <v>112</v>
      </c>
    </row>
    <row r="30" spans="1:14" x14ac:dyDescent="0.25">
      <c r="A30" t="s">
        <v>20</v>
      </c>
      <c r="E30">
        <f>SUM(E21:E25)</f>
        <v>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U45"/>
  <sheetViews>
    <sheetView topLeftCell="A10" workbookViewId="0">
      <selection activeCell="U24" sqref="U24:U35"/>
    </sheetView>
  </sheetViews>
  <sheetFormatPr defaultRowHeight="15" x14ac:dyDescent="0.25"/>
  <cols>
    <col min="21" max="21" width="52.5703125" customWidth="1"/>
  </cols>
  <sheetData>
    <row r="1" spans="3:21" ht="15.75" customHeight="1" x14ac:dyDescent="0.25">
      <c r="U1" s="10" t="s">
        <v>106</v>
      </c>
    </row>
    <row r="2" spans="3:21" ht="15.75" x14ac:dyDescent="0.25">
      <c r="D2" t="s">
        <v>26</v>
      </c>
      <c r="U2" s="10" t="s">
        <v>107</v>
      </c>
    </row>
    <row r="3" spans="3:21" ht="15.75" x14ac:dyDescent="0.25">
      <c r="U3" s="10" t="s">
        <v>108</v>
      </c>
    </row>
    <row r="4" spans="3:21" ht="15.75" x14ac:dyDescent="0.25">
      <c r="U4" s="10" t="s">
        <v>109</v>
      </c>
    </row>
    <row r="5" spans="3:21" ht="15.75" x14ac:dyDescent="0.25">
      <c r="C5" t="s">
        <v>27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U5" s="10" t="s">
        <v>110</v>
      </c>
    </row>
    <row r="6" spans="3:21" ht="15.75" x14ac:dyDescent="0.25">
      <c r="F6" s="7"/>
      <c r="G6" s="7"/>
      <c r="H6" s="7"/>
      <c r="I6" s="7"/>
      <c r="J6" s="7"/>
      <c r="K6" s="7"/>
      <c r="U6" s="10" t="s">
        <v>111</v>
      </c>
    </row>
    <row r="7" spans="3:21" ht="15.75" x14ac:dyDescent="0.25">
      <c r="E7">
        <v>1</v>
      </c>
      <c r="F7">
        <v>4</v>
      </c>
      <c r="G7">
        <v>4</v>
      </c>
      <c r="H7">
        <v>3</v>
      </c>
      <c r="I7">
        <v>5</v>
      </c>
      <c r="J7">
        <v>5</v>
      </c>
      <c r="K7">
        <v>8</v>
      </c>
      <c r="U7" s="10" t="s">
        <v>112</v>
      </c>
    </row>
    <row r="8" spans="3:21" ht="15.75" x14ac:dyDescent="0.25">
      <c r="E8">
        <v>2</v>
      </c>
      <c r="F8">
        <v>12</v>
      </c>
      <c r="G8">
        <v>12</v>
      </c>
      <c r="H8">
        <v>10</v>
      </c>
      <c r="I8">
        <v>13</v>
      </c>
      <c r="J8">
        <v>13</v>
      </c>
      <c r="K8">
        <v>12</v>
      </c>
      <c r="U8" s="10" t="s">
        <v>113</v>
      </c>
    </row>
    <row r="9" spans="3:21" ht="15.75" x14ac:dyDescent="0.25">
      <c r="E9">
        <v>3</v>
      </c>
      <c r="F9">
        <v>28</v>
      </c>
      <c r="G9">
        <v>41</v>
      </c>
      <c r="H9">
        <v>51</v>
      </c>
      <c r="I9">
        <v>37</v>
      </c>
      <c r="J9">
        <v>23</v>
      </c>
      <c r="K9">
        <v>33</v>
      </c>
      <c r="U9" s="10" t="s">
        <v>114</v>
      </c>
    </row>
    <row r="10" spans="3:21" ht="15.75" x14ac:dyDescent="0.25">
      <c r="E10">
        <v>4</v>
      </c>
      <c r="F10">
        <v>97</v>
      </c>
      <c r="G10">
        <v>108</v>
      </c>
      <c r="H10">
        <v>99</v>
      </c>
      <c r="I10">
        <v>96</v>
      </c>
      <c r="J10">
        <v>100</v>
      </c>
      <c r="K10">
        <v>99</v>
      </c>
      <c r="U10" s="10" t="s">
        <v>111</v>
      </c>
    </row>
    <row r="11" spans="3:21" ht="15.75" x14ac:dyDescent="0.25">
      <c r="E11">
        <v>5</v>
      </c>
      <c r="F11" s="5">
        <v>229</v>
      </c>
      <c r="G11" s="5">
        <v>205</v>
      </c>
      <c r="H11" s="5">
        <v>207</v>
      </c>
      <c r="I11" s="5">
        <v>219</v>
      </c>
      <c r="J11" s="5">
        <v>229</v>
      </c>
      <c r="K11" s="5">
        <v>218</v>
      </c>
      <c r="U11" s="10" t="s">
        <v>115</v>
      </c>
    </row>
    <row r="12" spans="3:21" ht="15.75" x14ac:dyDescent="0.25">
      <c r="U12" s="10" t="s">
        <v>116</v>
      </c>
    </row>
    <row r="13" spans="3:21" ht="15.75" x14ac:dyDescent="0.25">
      <c r="U13" s="10" t="s">
        <v>117</v>
      </c>
    </row>
    <row r="14" spans="3:21" ht="15.75" x14ac:dyDescent="0.25">
      <c r="U14" s="10" t="s">
        <v>118</v>
      </c>
    </row>
    <row r="15" spans="3:21" ht="15.75" x14ac:dyDescent="0.25">
      <c r="U15" s="10" t="s">
        <v>119</v>
      </c>
    </row>
    <row r="16" spans="3:21" ht="141.75" x14ac:dyDescent="0.25">
      <c r="D16" t="s">
        <v>28</v>
      </c>
      <c r="F16" s="3" t="s">
        <v>9</v>
      </c>
      <c r="G16" s="3" t="s">
        <v>10</v>
      </c>
      <c r="H16" s="3" t="s">
        <v>11</v>
      </c>
      <c r="I16" s="3" t="s">
        <v>12</v>
      </c>
      <c r="J16" s="3" t="s">
        <v>13</v>
      </c>
      <c r="K16" s="3" t="s">
        <v>14</v>
      </c>
      <c r="L16" s="3" t="s">
        <v>15</v>
      </c>
      <c r="M16" s="3" t="s">
        <v>16</v>
      </c>
      <c r="N16" s="3" t="s">
        <v>17</v>
      </c>
      <c r="O16" s="3" t="s">
        <v>18</v>
      </c>
      <c r="U16" s="10" t="s">
        <v>120</v>
      </c>
    </row>
    <row r="17" spans="3:21" ht="15.75" x14ac:dyDescent="0.25">
      <c r="U17" s="10" t="s">
        <v>121</v>
      </c>
    </row>
    <row r="18" spans="3:21" ht="15.75" x14ac:dyDescent="0.25">
      <c r="E18">
        <v>1</v>
      </c>
      <c r="F18">
        <v>1</v>
      </c>
      <c r="G18">
        <v>1</v>
      </c>
      <c r="H18">
        <v>1</v>
      </c>
      <c r="I18">
        <v>2</v>
      </c>
      <c r="J18">
        <v>0</v>
      </c>
      <c r="K18">
        <v>1</v>
      </c>
      <c r="L18">
        <v>1</v>
      </c>
      <c r="M18">
        <v>2</v>
      </c>
      <c r="N18">
        <v>0</v>
      </c>
      <c r="O18">
        <v>0</v>
      </c>
      <c r="U18" s="10" t="s">
        <v>122</v>
      </c>
    </row>
    <row r="19" spans="3:21" ht="15.75" x14ac:dyDescent="0.25">
      <c r="E19">
        <v>2</v>
      </c>
      <c r="F19">
        <v>5</v>
      </c>
      <c r="G19">
        <v>6</v>
      </c>
      <c r="H19">
        <v>9</v>
      </c>
      <c r="I19">
        <v>6</v>
      </c>
      <c r="J19">
        <v>5</v>
      </c>
      <c r="K19">
        <v>8</v>
      </c>
      <c r="L19">
        <v>9</v>
      </c>
      <c r="M19">
        <v>3</v>
      </c>
      <c r="N19">
        <v>7</v>
      </c>
      <c r="O19">
        <v>6</v>
      </c>
      <c r="U19" s="10" t="s">
        <v>123</v>
      </c>
    </row>
    <row r="20" spans="3:21" ht="15.75" x14ac:dyDescent="0.25">
      <c r="E20">
        <v>3</v>
      </c>
      <c r="F20">
        <v>19</v>
      </c>
      <c r="G20">
        <v>10</v>
      </c>
      <c r="H20">
        <v>17</v>
      </c>
      <c r="I20">
        <v>27</v>
      </c>
      <c r="J20">
        <v>27</v>
      </c>
      <c r="K20">
        <v>23</v>
      </c>
      <c r="L20">
        <v>16</v>
      </c>
      <c r="M20">
        <v>25</v>
      </c>
      <c r="N20">
        <v>26</v>
      </c>
      <c r="O20">
        <v>32</v>
      </c>
      <c r="U20" s="10" t="s">
        <v>117</v>
      </c>
    </row>
    <row r="21" spans="3:21" ht="15.75" x14ac:dyDescent="0.25">
      <c r="E21">
        <v>4</v>
      </c>
      <c r="F21">
        <v>225</v>
      </c>
      <c r="G21">
        <v>227</v>
      </c>
      <c r="H21">
        <v>180</v>
      </c>
      <c r="I21">
        <v>189</v>
      </c>
      <c r="J21">
        <v>181</v>
      </c>
      <c r="K21">
        <v>178</v>
      </c>
      <c r="L21">
        <v>179</v>
      </c>
      <c r="M21">
        <v>239</v>
      </c>
      <c r="N21">
        <v>223</v>
      </c>
      <c r="O21">
        <v>223</v>
      </c>
      <c r="U21" s="16" t="s">
        <v>124</v>
      </c>
    </row>
    <row r="22" spans="3:21" ht="15.75" x14ac:dyDescent="0.25">
      <c r="E22">
        <v>5</v>
      </c>
      <c r="F22" s="5">
        <v>121</v>
      </c>
      <c r="G22" s="5">
        <v>127</v>
      </c>
      <c r="H22" s="5">
        <v>164</v>
      </c>
      <c r="I22" s="5">
        <v>147</v>
      </c>
      <c r="J22" s="5">
        <v>158</v>
      </c>
      <c r="K22" s="5">
        <v>161</v>
      </c>
      <c r="L22" s="5">
        <v>166</v>
      </c>
      <c r="M22" s="5">
        <v>102</v>
      </c>
      <c r="N22" s="5">
        <v>115</v>
      </c>
      <c r="O22" s="5">
        <v>110</v>
      </c>
      <c r="U22" s="16" t="s">
        <v>125</v>
      </c>
    </row>
    <row r="23" spans="3:21" ht="15.75" x14ac:dyDescent="0.25">
      <c r="U23" s="16" t="s">
        <v>126</v>
      </c>
    </row>
    <row r="25" spans="3:21" x14ac:dyDescent="0.25">
      <c r="C25" t="s">
        <v>29</v>
      </c>
      <c r="F25" s="8" t="s">
        <v>30</v>
      </c>
      <c r="G25" s="8" t="s">
        <v>21</v>
      </c>
      <c r="H25" s="8" t="s">
        <v>22</v>
      </c>
      <c r="I25" s="8" t="s">
        <v>23</v>
      </c>
      <c r="J25" s="8" t="s">
        <v>24</v>
      </c>
      <c r="K25" s="8" t="s">
        <v>25</v>
      </c>
    </row>
    <row r="26" spans="3:21" x14ac:dyDescent="0.25">
      <c r="F26" s="8"/>
      <c r="G26" s="8"/>
      <c r="H26" s="8"/>
      <c r="I26" s="8"/>
      <c r="J26" s="8"/>
      <c r="K26" s="8"/>
    </row>
    <row r="28" spans="3:21" ht="15" customHeight="1" x14ac:dyDescent="0.25">
      <c r="F28">
        <v>7</v>
      </c>
      <c r="G28">
        <v>1</v>
      </c>
      <c r="H28">
        <v>3</v>
      </c>
      <c r="I28">
        <v>2</v>
      </c>
      <c r="J28">
        <v>4</v>
      </c>
    </row>
    <row r="29" spans="3:21" x14ac:dyDescent="0.25">
      <c r="F29">
        <v>3</v>
      </c>
      <c r="G29">
        <v>5</v>
      </c>
      <c r="H29">
        <v>10</v>
      </c>
      <c r="I29">
        <v>13</v>
      </c>
      <c r="J29">
        <v>16</v>
      </c>
    </row>
    <row r="30" spans="3:21" x14ac:dyDescent="0.25">
      <c r="F30">
        <v>31</v>
      </c>
      <c r="G30">
        <v>34</v>
      </c>
      <c r="H30">
        <v>34</v>
      </c>
      <c r="I30">
        <v>58</v>
      </c>
      <c r="J30">
        <v>43</v>
      </c>
    </row>
    <row r="31" spans="3:21" x14ac:dyDescent="0.25">
      <c r="F31">
        <v>102</v>
      </c>
      <c r="G31">
        <v>121</v>
      </c>
      <c r="H31">
        <v>111</v>
      </c>
      <c r="I31">
        <v>115</v>
      </c>
      <c r="J31">
        <v>116</v>
      </c>
    </row>
    <row r="32" spans="3:21" x14ac:dyDescent="0.25">
      <c r="F32">
        <v>227</v>
      </c>
      <c r="G32">
        <v>209</v>
      </c>
      <c r="H32">
        <v>212</v>
      </c>
      <c r="I32">
        <v>182</v>
      </c>
      <c r="J32">
        <v>201</v>
      </c>
    </row>
    <row r="45" spans="7:7" x14ac:dyDescent="0.25">
      <c r="G45">
        <f>SUM(F28:F32)</f>
        <v>370</v>
      </c>
    </row>
  </sheetData>
  <mergeCells count="12">
    <mergeCell ref="K25:K26"/>
    <mergeCell ref="F5:F6"/>
    <mergeCell ref="G5:G6"/>
    <mergeCell ref="H5:H6"/>
    <mergeCell ref="I5:I6"/>
    <mergeCell ref="J5:J6"/>
    <mergeCell ref="K5:K6"/>
    <mergeCell ref="F25:F26"/>
    <mergeCell ref="G25:G26"/>
    <mergeCell ref="H25:H26"/>
    <mergeCell ref="I25:I26"/>
    <mergeCell ref="J25:J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8"/>
  <sheetViews>
    <sheetView topLeftCell="A16" workbookViewId="0">
      <selection activeCell="S23" sqref="S23:S32"/>
    </sheetView>
  </sheetViews>
  <sheetFormatPr defaultRowHeight="15" x14ac:dyDescent="0.25"/>
  <cols>
    <col min="19" max="19" width="67.7109375" customWidth="1"/>
  </cols>
  <sheetData>
    <row r="2" spans="1:19" x14ac:dyDescent="0.25">
      <c r="A2" t="s">
        <v>31</v>
      </c>
    </row>
    <row r="3" spans="1:19" ht="141.75" x14ac:dyDescent="0.25">
      <c r="C3" t="s">
        <v>28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</row>
    <row r="4" spans="1:19" ht="31.5" x14ac:dyDescent="0.25"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S4" s="16" t="s">
        <v>124</v>
      </c>
    </row>
    <row r="5" spans="1:19" ht="31.5" x14ac:dyDescent="0.25">
      <c r="E5">
        <v>1</v>
      </c>
      <c r="F5">
        <v>1</v>
      </c>
      <c r="G5">
        <v>1</v>
      </c>
      <c r="H5">
        <v>2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S5" s="16" t="s">
        <v>83</v>
      </c>
    </row>
    <row r="6" spans="1:19" ht="63" x14ac:dyDescent="0.25">
      <c r="E6">
        <v>11</v>
      </c>
      <c r="F6">
        <v>6</v>
      </c>
      <c r="G6">
        <v>3</v>
      </c>
      <c r="H6">
        <v>5</v>
      </c>
      <c r="I6">
        <v>6</v>
      </c>
      <c r="J6">
        <v>6</v>
      </c>
      <c r="K6">
        <v>1</v>
      </c>
      <c r="L6">
        <v>6</v>
      </c>
      <c r="M6">
        <v>8</v>
      </c>
      <c r="N6">
        <v>3</v>
      </c>
      <c r="S6" s="16" t="s">
        <v>127</v>
      </c>
    </row>
    <row r="7" spans="1:19" ht="47.25" x14ac:dyDescent="0.25">
      <c r="E7">
        <v>13</v>
      </c>
      <c r="F7">
        <v>10</v>
      </c>
      <c r="G7">
        <v>21</v>
      </c>
      <c r="H7">
        <v>20</v>
      </c>
      <c r="I7">
        <v>14</v>
      </c>
      <c r="J7">
        <v>15</v>
      </c>
      <c r="K7">
        <v>13</v>
      </c>
      <c r="L7">
        <v>24</v>
      </c>
      <c r="M7">
        <v>12</v>
      </c>
      <c r="N7">
        <v>15</v>
      </c>
      <c r="S7" s="16" t="s">
        <v>125</v>
      </c>
    </row>
    <row r="8" spans="1:19" ht="31.5" x14ac:dyDescent="0.25">
      <c r="E8">
        <v>34</v>
      </c>
      <c r="F8">
        <v>42</v>
      </c>
      <c r="G8">
        <v>35</v>
      </c>
      <c r="H8">
        <v>33</v>
      </c>
      <c r="I8">
        <v>39</v>
      </c>
      <c r="J8">
        <v>38</v>
      </c>
      <c r="K8">
        <v>46</v>
      </c>
      <c r="L8">
        <v>29</v>
      </c>
      <c r="M8">
        <v>39</v>
      </c>
      <c r="N8">
        <v>41</v>
      </c>
      <c r="S8" s="16" t="s">
        <v>102</v>
      </c>
    </row>
    <row r="9" spans="1:19" ht="63" x14ac:dyDescent="0.25">
      <c r="S9" s="16" t="s">
        <v>128</v>
      </c>
    </row>
    <row r="10" spans="1:19" ht="31.5" x14ac:dyDescent="0.25">
      <c r="E10" s="8" t="s">
        <v>21</v>
      </c>
      <c r="F10" s="8" t="s">
        <v>22</v>
      </c>
      <c r="G10" s="8" t="s">
        <v>23</v>
      </c>
      <c r="H10" s="8" t="s">
        <v>24</v>
      </c>
      <c r="I10" s="8" t="s">
        <v>25</v>
      </c>
      <c r="S10" s="16" t="s">
        <v>129</v>
      </c>
    </row>
    <row r="11" spans="1:19" ht="47.25" x14ac:dyDescent="0.25">
      <c r="C11" t="s">
        <v>20</v>
      </c>
      <c r="E11" s="8"/>
      <c r="F11" s="8"/>
      <c r="G11" s="8"/>
      <c r="H11" s="8"/>
      <c r="I11" s="8"/>
      <c r="S11" s="16" t="s">
        <v>125</v>
      </c>
    </row>
    <row r="12" spans="1:19" ht="63" x14ac:dyDescent="0.25">
      <c r="E12">
        <v>0</v>
      </c>
      <c r="F12">
        <v>0</v>
      </c>
      <c r="G12">
        <v>0</v>
      </c>
      <c r="H12">
        <v>0</v>
      </c>
      <c r="I12">
        <v>0</v>
      </c>
      <c r="S12" s="16" t="s">
        <v>127</v>
      </c>
    </row>
    <row r="13" spans="1:19" ht="31.5" x14ac:dyDescent="0.25">
      <c r="E13">
        <v>0</v>
      </c>
      <c r="F13">
        <v>0</v>
      </c>
      <c r="G13">
        <v>0</v>
      </c>
      <c r="H13">
        <v>1</v>
      </c>
      <c r="I13">
        <v>0</v>
      </c>
      <c r="S13" s="16" t="s">
        <v>124</v>
      </c>
    </row>
    <row r="14" spans="1:19" ht="78.75" x14ac:dyDescent="0.25">
      <c r="E14">
        <v>1</v>
      </c>
      <c r="F14">
        <v>0</v>
      </c>
      <c r="G14">
        <v>6</v>
      </c>
      <c r="H14">
        <v>3</v>
      </c>
      <c r="I14">
        <v>2</v>
      </c>
      <c r="S14" s="16" t="s">
        <v>130</v>
      </c>
    </row>
    <row r="15" spans="1:19" ht="78.75" x14ac:dyDescent="0.25">
      <c r="E15">
        <v>17</v>
      </c>
      <c r="F15">
        <v>30</v>
      </c>
      <c r="G15">
        <v>9</v>
      </c>
      <c r="H15">
        <v>33</v>
      </c>
      <c r="I15">
        <v>21</v>
      </c>
      <c r="S15" s="16" t="s">
        <v>131</v>
      </c>
    </row>
    <row r="16" spans="1:19" ht="15.75" x14ac:dyDescent="0.25">
      <c r="E16">
        <v>43</v>
      </c>
      <c r="F16">
        <v>31</v>
      </c>
      <c r="G16">
        <v>46</v>
      </c>
      <c r="H16">
        <v>24</v>
      </c>
      <c r="I16">
        <v>38</v>
      </c>
      <c r="S16" s="16" t="s">
        <v>124</v>
      </c>
    </row>
    <row r="17" spans="3:19" ht="15.75" x14ac:dyDescent="0.25">
      <c r="S17" s="16" t="s">
        <v>132</v>
      </c>
    </row>
    <row r="18" spans="3:19" ht="15.75" x14ac:dyDescent="0.25">
      <c r="C18" t="s">
        <v>32</v>
      </c>
      <c r="E18" s="6" t="s">
        <v>2</v>
      </c>
      <c r="F18" s="6" t="s">
        <v>3</v>
      </c>
      <c r="G18" s="6" t="s">
        <v>4</v>
      </c>
      <c r="H18" s="6" t="s">
        <v>5</v>
      </c>
      <c r="I18" s="6" t="s">
        <v>6</v>
      </c>
      <c r="J18" s="6" t="s">
        <v>7</v>
      </c>
      <c r="S18" s="16" t="s">
        <v>131</v>
      </c>
    </row>
    <row r="19" spans="3:19" ht="15.75" x14ac:dyDescent="0.25">
      <c r="E19" s="7"/>
      <c r="F19" s="7"/>
      <c r="G19" s="7"/>
      <c r="H19" s="7"/>
      <c r="I19" s="7"/>
      <c r="J19" s="7"/>
      <c r="S19" s="16" t="s">
        <v>129</v>
      </c>
    </row>
    <row r="20" spans="3:19" ht="15.75" x14ac:dyDescent="0.25">
      <c r="E20">
        <v>1</v>
      </c>
      <c r="G20">
        <v>1</v>
      </c>
      <c r="H20">
        <v>0</v>
      </c>
      <c r="I20">
        <v>0</v>
      </c>
      <c r="J20">
        <v>0</v>
      </c>
      <c r="S20" s="16" t="s">
        <v>125</v>
      </c>
    </row>
    <row r="21" spans="3:19" ht="15.75" x14ac:dyDescent="0.25">
      <c r="E21">
        <v>0</v>
      </c>
      <c r="F21">
        <v>0</v>
      </c>
      <c r="G21">
        <v>4</v>
      </c>
      <c r="H21">
        <v>2</v>
      </c>
      <c r="I21">
        <v>0</v>
      </c>
      <c r="J21">
        <v>2</v>
      </c>
      <c r="S21" s="16" t="s">
        <v>133</v>
      </c>
    </row>
    <row r="22" spans="3:19" ht="15.75" x14ac:dyDescent="0.25">
      <c r="E22">
        <v>6</v>
      </c>
      <c r="F22">
        <v>7</v>
      </c>
      <c r="G22">
        <v>3</v>
      </c>
      <c r="H22">
        <v>3</v>
      </c>
      <c r="I22">
        <v>8</v>
      </c>
      <c r="J22">
        <v>8</v>
      </c>
      <c r="S22" s="16" t="s">
        <v>134</v>
      </c>
    </row>
    <row r="23" spans="3:19" x14ac:dyDescent="0.25">
      <c r="E23">
        <v>1</v>
      </c>
      <c r="F23">
        <v>5</v>
      </c>
      <c r="G23">
        <v>15</v>
      </c>
      <c r="H23">
        <v>13</v>
      </c>
      <c r="I23">
        <v>14</v>
      </c>
      <c r="J23">
        <v>7</v>
      </c>
    </row>
    <row r="24" spans="3:19" x14ac:dyDescent="0.25">
      <c r="E24">
        <v>47</v>
      </c>
      <c r="F24">
        <v>42</v>
      </c>
      <c r="G24">
        <v>33</v>
      </c>
      <c r="H24">
        <v>37</v>
      </c>
      <c r="I24">
        <v>33</v>
      </c>
      <c r="J24">
        <v>38</v>
      </c>
    </row>
    <row r="28" spans="3:19" x14ac:dyDescent="0.25">
      <c r="E28">
        <f>SUM(E20:E24)</f>
        <v>55</v>
      </c>
    </row>
  </sheetData>
  <mergeCells count="11">
    <mergeCell ref="J18:J19"/>
    <mergeCell ref="E10:E11"/>
    <mergeCell ref="F10:F11"/>
    <mergeCell ref="G10:G11"/>
    <mergeCell ref="H10:H11"/>
    <mergeCell ref="I10:I11"/>
    <mergeCell ref="E18:E19"/>
    <mergeCell ref="F18:F19"/>
    <mergeCell ref="G18:G19"/>
    <mergeCell ref="H18:H19"/>
    <mergeCell ref="I18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Sheet4</vt:lpstr>
      <vt:lpstr>Sheet5</vt:lpstr>
      <vt:lpstr>Sheet6</vt:lpstr>
      <vt:lpstr>Sheet7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2026-01-08T08:46:35Z</dcterms:modified>
</cp:coreProperties>
</file>